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ZA097\Desktop\Учеба\Счастливо\1 курс\АСОИиУ\"/>
    </mc:Choice>
  </mc:AlternateContent>
  <xr:revisionPtr revIDLastSave="0" documentId="13_ncr:1_{2EE804C6-0D60-46A5-AEB1-67B63EB3A85E}" xr6:coauthVersionLast="47" xr6:coauthVersionMax="47" xr10:uidLastSave="{00000000-0000-0000-0000-000000000000}"/>
  <bookViews>
    <workbookView xWindow="0" yWindow="0" windowWidth="19200" windowHeight="15600" firstSheet="1" activeTab="7" xr2:uid="{00000000-000D-0000-FFFF-FFFF00000000}"/>
  </bookViews>
  <sheets>
    <sheet name="Задача 1 (Б)" sheetId="1" r:id="rId1"/>
    <sheet name="Задача 2 (Б)" sheetId="2" r:id="rId2"/>
    <sheet name="Задача 3 (УМ)" sheetId="3" r:id="rId3"/>
    <sheet name="Задача 4 (СБ)" sheetId="4" r:id="rId4"/>
    <sheet name="Задача 5 (К)" sheetId="7" r:id="rId5"/>
    <sheet name="5.1" sheetId="5" r:id="rId6"/>
    <sheet name="5.2" sheetId="6" r:id="rId7"/>
    <sheet name="5.3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4" l="1"/>
  <c r="B10" i="4"/>
  <c r="F17" i="8"/>
  <c r="A10" i="8"/>
  <c r="A10" i="4"/>
  <c r="K37" i="1"/>
  <c r="F12" i="2" l="1"/>
  <c r="G12" i="2"/>
  <c r="H12" i="2" l="1"/>
  <c r="F12" i="1"/>
  <c r="B7" i="8" l="1"/>
  <c r="D7" i="8"/>
  <c r="E7" i="8"/>
  <c r="F7" i="8"/>
  <c r="G7" i="8"/>
  <c r="H7" i="8"/>
  <c r="A7" i="8"/>
  <c r="B7" i="6"/>
  <c r="K16" i="6" s="1"/>
  <c r="C7" i="6"/>
  <c r="D7" i="6"/>
  <c r="E7" i="6"/>
  <c r="F7" i="6"/>
  <c r="G7" i="6"/>
  <c r="H7" i="6"/>
  <c r="A7" i="6"/>
  <c r="K37" i="5"/>
  <c r="F12" i="5"/>
  <c r="G12" i="5"/>
  <c r="H12" i="5"/>
  <c r="K16" i="8"/>
  <c r="E15" i="8"/>
  <c r="F15" i="8" s="1"/>
  <c r="G15" i="8" s="1"/>
  <c r="H15" i="8" s="1"/>
  <c r="E15" i="6"/>
  <c r="F15" i="6" s="1"/>
  <c r="G15" i="6" s="1"/>
  <c r="H15" i="6" s="1"/>
  <c r="E10" i="3"/>
  <c r="F10" i="3"/>
  <c r="G10" i="3"/>
  <c r="H10" i="3"/>
  <c r="D10" i="3"/>
  <c r="A10" i="3" s="1"/>
  <c r="E36" i="5"/>
  <c r="F36" i="5" s="1"/>
  <c r="D19" i="5"/>
  <c r="D20" i="5" s="1"/>
  <c r="C19" i="5"/>
  <c r="D18" i="5"/>
  <c r="C18" i="5"/>
  <c r="E16" i="5"/>
  <c r="F16" i="5" s="1"/>
  <c r="G16" i="5" s="1"/>
  <c r="H16" i="5" s="1"/>
  <c r="E15" i="5"/>
  <c r="F15" i="5" s="1"/>
  <c r="G15" i="5" s="1"/>
  <c r="H15" i="5" s="1"/>
  <c r="D13" i="4"/>
  <c r="F15" i="4"/>
  <c r="G15" i="4" s="1"/>
  <c r="H15" i="4" s="1"/>
  <c r="E15" i="4"/>
  <c r="E13" i="4" l="1"/>
  <c r="B10" i="3"/>
  <c r="K18" i="3"/>
  <c r="E10" i="6"/>
  <c r="E12" i="5"/>
  <c r="D17" i="4"/>
  <c r="F10" i="6"/>
  <c r="D10" i="6"/>
  <c r="G10" i="6"/>
  <c r="H10" i="6"/>
  <c r="D21" i="5"/>
  <c r="G36" i="5"/>
  <c r="C20" i="5"/>
  <c r="E17" i="5"/>
  <c r="G13" i="4"/>
  <c r="F13" i="4"/>
  <c r="H13" i="4"/>
  <c r="K16" i="3"/>
  <c r="E15" i="3"/>
  <c r="F15" i="3" s="1"/>
  <c r="G15" i="3" s="1"/>
  <c r="K37" i="2"/>
  <c r="E36" i="2"/>
  <c r="F36" i="2" s="1"/>
  <c r="G36" i="2" s="1"/>
  <c r="D18" i="2"/>
  <c r="D19" i="2" s="1"/>
  <c r="C18" i="2"/>
  <c r="C19" i="2" s="1"/>
  <c r="E16" i="2"/>
  <c r="F16" i="2" s="1"/>
  <c r="G16" i="2" s="1"/>
  <c r="H16" i="2" s="1"/>
  <c r="E15" i="2"/>
  <c r="F15" i="2" s="1"/>
  <c r="G15" i="2" s="1"/>
  <c r="H15" i="2" s="1"/>
  <c r="E12" i="2"/>
  <c r="E36" i="1"/>
  <c r="F36" i="1" s="1"/>
  <c r="G36" i="1" s="1"/>
  <c r="H36" i="1" s="1"/>
  <c r="G12" i="1"/>
  <c r="H12" i="1"/>
  <c r="E16" i="1"/>
  <c r="F16" i="1" s="1"/>
  <c r="G16" i="1" s="1"/>
  <c r="H16" i="1" s="1"/>
  <c r="D18" i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E15" i="1"/>
  <c r="F15" i="1" s="1"/>
  <c r="G15" i="1" s="1"/>
  <c r="H15" i="1" s="1"/>
  <c r="C18" i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E12" i="1"/>
  <c r="K31" i="1"/>
  <c r="J31" i="1"/>
  <c r="M31" i="1"/>
  <c r="H13" i="8" l="1"/>
  <c r="H17" i="8" s="1"/>
  <c r="F13" i="8"/>
  <c r="F16" i="8" s="1"/>
  <c r="E17" i="1"/>
  <c r="G13" i="8"/>
  <c r="E14" i="7" s="1"/>
  <c r="D13" i="8"/>
  <c r="D17" i="8" s="1"/>
  <c r="D16" i="8" s="1"/>
  <c r="E13" i="8"/>
  <c r="E17" i="8" s="1"/>
  <c r="E16" i="8" s="1"/>
  <c r="A10" i="6"/>
  <c r="D13" i="6" s="1"/>
  <c r="F14" i="7"/>
  <c r="H13" i="3"/>
  <c r="H17" i="3" s="1"/>
  <c r="H16" i="3" s="1"/>
  <c r="H18" i="3" s="1"/>
  <c r="F13" i="3"/>
  <c r="F17" i="3" s="1"/>
  <c r="F16" i="3" s="1"/>
  <c r="D13" i="3"/>
  <c r="D17" i="3" s="1"/>
  <c r="E13" i="3"/>
  <c r="E17" i="3" s="1"/>
  <c r="E16" i="3" s="1"/>
  <c r="G13" i="3"/>
  <c r="G17" i="3" s="1"/>
  <c r="E18" i="5"/>
  <c r="F17" i="5"/>
  <c r="G17" i="5" s="1"/>
  <c r="H17" i="5" s="1"/>
  <c r="H36" i="5"/>
  <c r="C21" i="5"/>
  <c r="D22" i="5"/>
  <c r="C10" i="4"/>
  <c r="E17" i="4"/>
  <c r="G17" i="4"/>
  <c r="H17" i="4"/>
  <c r="H16" i="4" s="1"/>
  <c r="F17" i="4"/>
  <c r="F16" i="4" s="1"/>
  <c r="H15" i="3"/>
  <c r="C20" i="2"/>
  <c r="D20" i="2"/>
  <c r="H36" i="2"/>
  <c r="E17" i="2"/>
  <c r="F17" i="2" s="1"/>
  <c r="G17" i="2" s="1"/>
  <c r="H17" i="2" s="1"/>
  <c r="F17" i="1"/>
  <c r="G17" i="1" s="1"/>
  <c r="H17" i="1" s="1"/>
  <c r="E18" i="1"/>
  <c r="M30" i="1"/>
  <c r="N30" i="1"/>
  <c r="L31" i="1"/>
  <c r="J30" i="1"/>
  <c r="L30" i="1"/>
  <c r="N31" i="1"/>
  <c r="K30" i="1"/>
  <c r="F18" i="3" l="1"/>
  <c r="G19" i="3"/>
  <c r="E18" i="3"/>
  <c r="G16" i="3"/>
  <c r="G18" i="3" s="1"/>
  <c r="E18" i="2"/>
  <c r="F18" i="2" s="1"/>
  <c r="G18" i="2" s="1"/>
  <c r="H18" i="2" s="1"/>
  <c r="E13" i="6"/>
  <c r="C13" i="7" s="1"/>
  <c r="D14" i="7"/>
  <c r="C14" i="7"/>
  <c r="G17" i="8"/>
  <c r="G16" i="8" s="1"/>
  <c r="B10" i="8"/>
  <c r="K18" i="8" s="1"/>
  <c r="B14" i="7"/>
  <c r="F13" i="6"/>
  <c r="F17" i="6" s="1"/>
  <c r="F16" i="6" s="1"/>
  <c r="G13" i="6"/>
  <c r="G13" i="7"/>
  <c r="D17" i="6"/>
  <c r="D16" i="6" s="1"/>
  <c r="B13" i="7"/>
  <c r="H16" i="8"/>
  <c r="H13" i="6"/>
  <c r="B10" i="6"/>
  <c r="K18" i="6"/>
  <c r="D19" i="3"/>
  <c r="D16" i="3"/>
  <c r="D18" i="3" s="1"/>
  <c r="F19" i="3"/>
  <c r="H19" i="3"/>
  <c r="E19" i="3"/>
  <c r="C22" i="5"/>
  <c r="D23" i="5"/>
  <c r="F18" i="5"/>
  <c r="G18" i="5" s="1"/>
  <c r="H18" i="5" s="1"/>
  <c r="E19" i="5"/>
  <c r="D16" i="4"/>
  <c r="D19" i="4"/>
  <c r="F18" i="4"/>
  <c r="H19" i="4"/>
  <c r="H18" i="4"/>
  <c r="G19" i="4"/>
  <c r="E19" i="4"/>
  <c r="F19" i="4"/>
  <c r="G16" i="4"/>
  <c r="G18" i="4" s="1"/>
  <c r="E16" i="4"/>
  <c r="E18" i="4" s="1"/>
  <c r="E19" i="2"/>
  <c r="D21" i="2"/>
  <c r="C21" i="2"/>
  <c r="E19" i="1"/>
  <c r="F18" i="1"/>
  <c r="G18" i="1" s="1"/>
  <c r="H18" i="1" s="1"/>
  <c r="J29" i="1"/>
  <c r="N29" i="1"/>
  <c r="L29" i="1"/>
  <c r="M29" i="1"/>
  <c r="K29" i="1"/>
  <c r="F19" i="2" l="1"/>
  <c r="E17" i="6"/>
  <c r="E19" i="6" s="1"/>
  <c r="G19" i="2"/>
  <c r="H19" i="2" s="1"/>
  <c r="E20" i="2"/>
  <c r="F20" i="2" s="1"/>
  <c r="C10" i="8"/>
  <c r="F18" i="8" s="1"/>
  <c r="D18" i="6"/>
  <c r="D13" i="7"/>
  <c r="G14" i="7"/>
  <c r="I16" i="8"/>
  <c r="F19" i="6"/>
  <c r="F18" i="6"/>
  <c r="D19" i="6"/>
  <c r="H17" i="6"/>
  <c r="F13" i="7"/>
  <c r="G17" i="6"/>
  <c r="G16" i="6" s="1"/>
  <c r="G18" i="6" s="1"/>
  <c r="E13" i="7"/>
  <c r="D24" i="5"/>
  <c r="F19" i="5"/>
  <c r="G19" i="5" s="1"/>
  <c r="H19" i="5" s="1"/>
  <c r="E20" i="5"/>
  <c r="C23" i="5"/>
  <c r="C22" i="2"/>
  <c r="E21" i="2"/>
  <c r="D22" i="2"/>
  <c r="E20" i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F19" i="1"/>
  <c r="L21" i="2"/>
  <c r="E16" i="6" l="1"/>
  <c r="E18" i="6" s="1"/>
  <c r="D18" i="8"/>
  <c r="H18" i="8"/>
  <c r="D19" i="8"/>
  <c r="F19" i="8"/>
  <c r="E18" i="8"/>
  <c r="H19" i="8"/>
  <c r="G18" i="8"/>
  <c r="E19" i="8"/>
  <c r="G19" i="8"/>
  <c r="G20" i="2"/>
  <c r="H20" i="2" s="1"/>
  <c r="F21" i="2"/>
  <c r="G19" i="6"/>
  <c r="H16" i="6"/>
  <c r="H19" i="6"/>
  <c r="C24" i="5"/>
  <c r="F20" i="5"/>
  <c r="G20" i="5" s="1"/>
  <c r="H20" i="5" s="1"/>
  <c r="E21" i="5"/>
  <c r="D25" i="5"/>
  <c r="C23" i="2"/>
  <c r="D23" i="2"/>
  <c r="E22" i="2"/>
  <c r="F20" i="1"/>
  <c r="G19" i="1"/>
  <c r="H19" i="1" s="1"/>
  <c r="M28" i="1"/>
  <c r="J28" i="1"/>
  <c r="L28" i="1"/>
  <c r="K28" i="1"/>
  <c r="N28" i="1"/>
  <c r="N23" i="5"/>
  <c r="L23" i="5"/>
  <c r="J22" i="5"/>
  <c r="M22" i="5"/>
  <c r="J23" i="5"/>
  <c r="N22" i="5"/>
  <c r="M23" i="5"/>
  <c r="K22" i="5"/>
  <c r="L22" i="5"/>
  <c r="K23" i="5"/>
  <c r="F22" i="2" l="1"/>
  <c r="I18" i="8"/>
  <c r="G21" i="2"/>
  <c r="H18" i="6"/>
  <c r="I18" i="6" s="1"/>
  <c r="I16" i="6"/>
  <c r="D26" i="5"/>
  <c r="C25" i="5"/>
  <c r="F21" i="5"/>
  <c r="G21" i="5" s="1"/>
  <c r="H21" i="5" s="1"/>
  <c r="E22" i="5"/>
  <c r="E23" i="2"/>
  <c r="D24" i="2"/>
  <c r="C24" i="2"/>
  <c r="F21" i="1"/>
  <c r="F22" i="1" s="1"/>
  <c r="F23" i="1" s="1"/>
  <c r="G20" i="1"/>
  <c r="M24" i="5"/>
  <c r="K24" i="5"/>
  <c r="L24" i="5"/>
  <c r="N24" i="5"/>
  <c r="L21" i="5"/>
  <c r="K21" i="5"/>
  <c r="J21" i="5"/>
  <c r="J24" i="5"/>
  <c r="N21" i="5"/>
  <c r="M21" i="5"/>
  <c r="F23" i="2" l="1"/>
  <c r="F24" i="2" s="1"/>
  <c r="G22" i="2"/>
  <c r="H21" i="2"/>
  <c r="H22" i="2" s="1"/>
  <c r="G23" i="2"/>
  <c r="F22" i="5"/>
  <c r="G22" i="5" s="1"/>
  <c r="H22" i="5" s="1"/>
  <c r="E23" i="5"/>
  <c r="D27" i="5"/>
  <c r="C26" i="5"/>
  <c r="C25" i="2"/>
  <c r="E24" i="2"/>
  <c r="D25" i="2"/>
  <c r="G21" i="1"/>
  <c r="G22" i="1" s="1"/>
  <c r="G23" i="1" s="1"/>
  <c r="H20" i="1"/>
  <c r="F24" i="1"/>
  <c r="F25" i="1" s="1"/>
  <c r="F26" i="1" s="1"/>
  <c r="F27" i="1" s="1"/>
  <c r="I34" i="2"/>
  <c r="K27" i="1"/>
  <c r="J27" i="1"/>
  <c r="M27" i="1"/>
  <c r="N27" i="1"/>
  <c r="L27" i="1"/>
  <c r="J24" i="2"/>
  <c r="N25" i="2"/>
  <c r="N20" i="5"/>
  <c r="M24" i="2"/>
  <c r="L25" i="5"/>
  <c r="K25" i="5"/>
  <c r="N24" i="2"/>
  <c r="N25" i="5"/>
  <c r="L20" i="5"/>
  <c r="J20" i="5"/>
  <c r="M25" i="5"/>
  <c r="L24" i="2"/>
  <c r="K20" i="5"/>
  <c r="M20" i="5"/>
  <c r="J25" i="5"/>
  <c r="K24" i="2"/>
  <c r="F34" i="2" l="1"/>
  <c r="H23" i="2"/>
  <c r="G24" i="2"/>
  <c r="F23" i="5"/>
  <c r="G23" i="5" s="1"/>
  <c r="H23" i="5" s="1"/>
  <c r="E24" i="5"/>
  <c r="C27" i="5"/>
  <c r="D28" i="5"/>
  <c r="C26" i="2"/>
  <c r="D26" i="2"/>
  <c r="E25" i="2"/>
  <c r="F25" i="2" s="1"/>
  <c r="F28" i="1"/>
  <c r="F29" i="1" s="1"/>
  <c r="F30" i="1" s="1"/>
  <c r="F31" i="1" s="1"/>
  <c r="H21" i="1"/>
  <c r="G24" i="1"/>
  <c r="G25" i="1" s="1"/>
  <c r="G26" i="1" s="1"/>
  <c r="G27" i="1" s="1"/>
  <c r="L17" i="2"/>
  <c r="K26" i="1"/>
  <c r="J26" i="1"/>
  <c r="N26" i="1"/>
  <c r="M26" i="1"/>
  <c r="L26" i="1"/>
  <c r="K26" i="5"/>
  <c r="N26" i="5"/>
  <c r="J19" i="5"/>
  <c r="L19" i="5"/>
  <c r="K23" i="2"/>
  <c r="K25" i="2"/>
  <c r="L23" i="2"/>
  <c r="J25" i="2"/>
  <c r="L26" i="5"/>
  <c r="M26" i="5"/>
  <c r="N23" i="2"/>
  <c r="M19" i="5"/>
  <c r="N26" i="2"/>
  <c r="M23" i="2"/>
  <c r="J23" i="2"/>
  <c r="N19" i="5"/>
  <c r="M25" i="2"/>
  <c r="L25" i="2"/>
  <c r="K19" i="5"/>
  <c r="J26" i="5"/>
  <c r="H24" i="2" l="1"/>
  <c r="G25" i="2"/>
  <c r="F24" i="5"/>
  <c r="G24" i="5" s="1"/>
  <c r="H24" i="5" s="1"/>
  <c r="E25" i="5"/>
  <c r="C28" i="5"/>
  <c r="D29" i="5"/>
  <c r="C27" i="2"/>
  <c r="D27" i="2"/>
  <c r="E26" i="2"/>
  <c r="F26" i="2" s="1"/>
  <c r="G26" i="2" s="1"/>
  <c r="H22" i="1"/>
  <c r="G28" i="1"/>
  <c r="G29" i="1" s="1"/>
  <c r="G30" i="1" s="1"/>
  <c r="G31" i="1" s="1"/>
  <c r="K25" i="1"/>
  <c r="J25" i="1"/>
  <c r="N25" i="1"/>
  <c r="L25" i="1"/>
  <c r="M25" i="1"/>
  <c r="N18" i="5"/>
  <c r="J22" i="2"/>
  <c r="N27" i="2"/>
  <c r="K22" i="2"/>
  <c r="M26" i="2"/>
  <c r="L27" i="5"/>
  <c r="M22" i="2"/>
  <c r="K26" i="2"/>
  <c r="K27" i="5"/>
  <c r="J26" i="2"/>
  <c r="L22" i="2"/>
  <c r="L26" i="2"/>
  <c r="M27" i="5"/>
  <c r="N27" i="5"/>
  <c r="M18" i="5"/>
  <c r="L18" i="5"/>
  <c r="N22" i="2"/>
  <c r="J27" i="5"/>
  <c r="K18" i="5"/>
  <c r="J18" i="5"/>
  <c r="H25" i="2" l="1"/>
  <c r="H26" i="2" s="1"/>
  <c r="D30" i="5"/>
  <c r="C29" i="5"/>
  <c r="F25" i="5"/>
  <c r="G25" i="5" s="1"/>
  <c r="H25" i="5" s="1"/>
  <c r="E26" i="5"/>
  <c r="C28" i="2"/>
  <c r="D28" i="2"/>
  <c r="E27" i="2"/>
  <c r="F27" i="2" s="1"/>
  <c r="G27" i="2" s="1"/>
  <c r="H23" i="1"/>
  <c r="D34" i="1"/>
  <c r="M24" i="1"/>
  <c r="J24" i="1"/>
  <c r="N24" i="1"/>
  <c r="K24" i="1"/>
  <c r="L24" i="1"/>
  <c r="K21" i="2"/>
  <c r="M17" i="5"/>
  <c r="N17" i="5"/>
  <c r="J21" i="2"/>
  <c r="M27" i="2"/>
  <c r="J28" i="5"/>
  <c r="L17" i="5"/>
  <c r="K17" i="5"/>
  <c r="M28" i="5"/>
  <c r="N28" i="5"/>
  <c r="M21" i="2"/>
  <c r="K27" i="2"/>
  <c r="L28" i="5"/>
  <c r="J27" i="2"/>
  <c r="N28" i="2"/>
  <c r="L27" i="2"/>
  <c r="N21" i="2"/>
  <c r="J17" i="5"/>
  <c r="K28" i="5"/>
  <c r="D43" i="1" l="1"/>
  <c r="H27" i="2"/>
  <c r="C30" i="5"/>
  <c r="F26" i="5"/>
  <c r="G26" i="5" s="1"/>
  <c r="H26" i="5" s="1"/>
  <c r="E27" i="5"/>
  <c r="D31" i="5"/>
  <c r="C29" i="2"/>
  <c r="D29" i="2"/>
  <c r="E28" i="2"/>
  <c r="F28" i="2" s="1"/>
  <c r="G28" i="2" s="1"/>
  <c r="H24" i="1"/>
  <c r="J23" i="1"/>
  <c r="N23" i="1"/>
  <c r="K23" i="1"/>
  <c r="M23" i="1"/>
  <c r="L23" i="1"/>
  <c r="K20" i="2"/>
  <c r="L20" i="2"/>
  <c r="K29" i="5"/>
  <c r="J29" i="5"/>
  <c r="J28" i="2"/>
  <c r="K28" i="2"/>
  <c r="L28" i="2"/>
  <c r="M28" i="2"/>
  <c r="J20" i="2"/>
  <c r="M20" i="2"/>
  <c r="M29" i="5"/>
  <c r="N20" i="2"/>
  <c r="L29" i="5"/>
  <c r="N29" i="2"/>
  <c r="D34" i="5"/>
  <c r="N29" i="5"/>
  <c r="E43" i="1" l="1"/>
  <c r="H28" i="2"/>
  <c r="B12" i="7"/>
  <c r="B18" i="7" s="1"/>
  <c r="F34" i="5"/>
  <c r="D12" i="7" s="1"/>
  <c r="D43" i="5"/>
  <c r="G12" i="7" s="1"/>
  <c r="E34" i="5"/>
  <c r="C12" i="7" s="1"/>
  <c r="H34" i="5"/>
  <c r="F12" i="7" s="1"/>
  <c r="G34" i="5"/>
  <c r="E12" i="7" s="1"/>
  <c r="C31" i="5"/>
  <c r="F27" i="5"/>
  <c r="G27" i="5" s="1"/>
  <c r="H27" i="5" s="1"/>
  <c r="E28" i="5"/>
  <c r="E29" i="2"/>
  <c r="F29" i="2" s="1"/>
  <c r="G29" i="2" s="1"/>
  <c r="D30" i="2"/>
  <c r="C30" i="2"/>
  <c r="H25" i="1"/>
  <c r="K22" i="1"/>
  <c r="M22" i="1"/>
  <c r="J22" i="1"/>
  <c r="L22" i="1"/>
  <c r="N22" i="1"/>
  <c r="J19" i="2"/>
  <c r="M29" i="2"/>
  <c r="J29" i="2"/>
  <c r="N19" i="2"/>
  <c r="K19" i="2"/>
  <c r="N30" i="2"/>
  <c r="M30" i="5"/>
  <c r="L30" i="5"/>
  <c r="N30" i="5"/>
  <c r="K29" i="2"/>
  <c r="L29" i="2"/>
  <c r="M19" i="2"/>
  <c r="K30" i="5"/>
  <c r="L19" i="2"/>
  <c r="J30" i="5"/>
  <c r="H29" i="2" l="1"/>
  <c r="D18" i="7"/>
  <c r="D22" i="7"/>
  <c r="F18" i="7"/>
  <c r="F22" i="7"/>
  <c r="E18" i="7"/>
  <c r="E22" i="7"/>
  <c r="C18" i="7"/>
  <c r="C22" i="7"/>
  <c r="G18" i="7"/>
  <c r="G22" i="7"/>
  <c r="B22" i="7"/>
  <c r="E43" i="5"/>
  <c r="K39" i="5"/>
  <c r="F28" i="5"/>
  <c r="G28" i="5" s="1"/>
  <c r="H28" i="5" s="1"/>
  <c r="E29" i="5"/>
  <c r="C31" i="2"/>
  <c r="E30" i="2"/>
  <c r="F30" i="2" s="1"/>
  <c r="G30" i="2" s="1"/>
  <c r="D31" i="2"/>
  <c r="H26" i="1"/>
  <c r="L21" i="1"/>
  <c r="M21" i="1"/>
  <c r="N21" i="1"/>
  <c r="K21" i="1"/>
  <c r="J21" i="1"/>
  <c r="N31" i="5"/>
  <c r="L18" i="2"/>
  <c r="F37" i="2" s="1"/>
  <c r="K30" i="2"/>
  <c r="N18" i="2"/>
  <c r="J18" i="2"/>
  <c r="J30" i="2"/>
  <c r="K18" i="2"/>
  <c r="L30" i="2"/>
  <c r="N31" i="2"/>
  <c r="M31" i="5"/>
  <c r="M18" i="2"/>
  <c r="J31" i="5"/>
  <c r="K31" i="5"/>
  <c r="M30" i="2"/>
  <c r="L31" i="5"/>
  <c r="H30" i="2" l="1"/>
  <c r="F29" i="5"/>
  <c r="G29" i="5" s="1"/>
  <c r="H29" i="5" s="1"/>
  <c r="E30" i="5"/>
  <c r="E31" i="2"/>
  <c r="F31" i="2" s="1"/>
  <c r="G31" i="2" s="1"/>
  <c r="H27" i="1"/>
  <c r="J20" i="1"/>
  <c r="M20" i="1"/>
  <c r="N20" i="1"/>
  <c r="L20" i="1"/>
  <c r="K20" i="1"/>
  <c r="M17" i="2"/>
  <c r="M31" i="2"/>
  <c r="K17" i="2"/>
  <c r="K31" i="2"/>
  <c r="N17" i="2"/>
  <c r="E37" i="5"/>
  <c r="H37" i="5"/>
  <c r="J17" i="2"/>
  <c r="D37" i="2" s="1"/>
  <c r="J31" i="2"/>
  <c r="F37" i="5"/>
  <c r="L31" i="2"/>
  <c r="G37" i="5"/>
  <c r="D37" i="5"/>
  <c r="H28" i="1" l="1"/>
  <c r="F38" i="2"/>
  <c r="H39" i="5"/>
  <c r="H40" i="5" s="1"/>
  <c r="H38" i="5"/>
  <c r="I37" i="5"/>
  <c r="D38" i="5"/>
  <c r="D39" i="5"/>
  <c r="D40" i="5" s="1"/>
  <c r="E38" i="5"/>
  <c r="E39" i="5"/>
  <c r="E40" i="5" s="1"/>
  <c r="F39" i="5"/>
  <c r="F40" i="5" s="1"/>
  <c r="F38" i="5"/>
  <c r="G39" i="5"/>
  <c r="G40" i="5" s="1"/>
  <c r="G38" i="5"/>
  <c r="H31" i="2"/>
  <c r="F30" i="5"/>
  <c r="G30" i="5" s="1"/>
  <c r="H30" i="5" s="1"/>
  <c r="E31" i="5"/>
  <c r="L19" i="1"/>
  <c r="K19" i="1"/>
  <c r="M19" i="1"/>
  <c r="N19" i="1"/>
  <c r="J19" i="1"/>
  <c r="H37" i="2"/>
  <c r="E37" i="2"/>
  <c r="D34" i="2"/>
  <c r="G37" i="2"/>
  <c r="D43" i="2" l="1"/>
  <c r="D39" i="2" s="1"/>
  <c r="D40" i="2" s="1"/>
  <c r="H29" i="1"/>
  <c r="I37" i="2"/>
  <c r="E34" i="2"/>
  <c r="E38" i="2" s="1"/>
  <c r="G34" i="2"/>
  <c r="I39" i="5"/>
  <c r="F31" i="5"/>
  <c r="G31" i="5" s="1"/>
  <c r="H31" i="5" s="1"/>
  <c r="D38" i="2"/>
  <c r="L18" i="1"/>
  <c r="K18" i="1"/>
  <c r="N18" i="1"/>
  <c r="J18" i="1"/>
  <c r="M18" i="1"/>
  <c r="H39" i="2" l="1"/>
  <c r="H40" i="2" s="1"/>
  <c r="H30" i="1"/>
  <c r="G38" i="2"/>
  <c r="E43" i="2"/>
  <c r="K39" i="2"/>
  <c r="G39" i="2"/>
  <c r="G40" i="2" s="1"/>
  <c r="E39" i="2"/>
  <c r="E40" i="2" s="1"/>
  <c r="F39" i="2"/>
  <c r="F40" i="2" s="1"/>
  <c r="M17" i="1"/>
  <c r="L17" i="1"/>
  <c r="N17" i="1"/>
  <c r="K17" i="1"/>
  <c r="J17" i="1"/>
  <c r="D37" i="1" s="1"/>
  <c r="D39" i="1" l="1"/>
  <c r="D40" i="1" s="1"/>
  <c r="H31" i="1"/>
  <c r="H34" i="2"/>
  <c r="H38" i="2" s="1"/>
  <c r="I39" i="2"/>
  <c r="I18" i="3"/>
  <c r="I16" i="3"/>
  <c r="E37" i="1"/>
  <c r="H37" i="1"/>
  <c r="F37" i="1"/>
  <c r="G37" i="1"/>
  <c r="I37" i="1" l="1"/>
  <c r="G34" i="1"/>
  <c r="G38" i="1" s="1"/>
  <c r="E34" i="1"/>
  <c r="E38" i="1" s="1"/>
  <c r="F34" i="1"/>
  <c r="F38" i="1" s="1"/>
  <c r="H34" i="1"/>
  <c r="H38" i="1" s="1"/>
  <c r="D38" i="1"/>
  <c r="K39" i="1" l="1"/>
  <c r="E39" i="1"/>
  <c r="G39" i="1"/>
  <c r="G40" i="1" s="1"/>
  <c r="F39" i="1"/>
  <c r="F40" i="1" s="1"/>
  <c r="H39" i="1"/>
  <c r="H40" i="1" s="1"/>
  <c r="E40" i="1" l="1"/>
  <c r="I39" i="1"/>
</calcChain>
</file>

<file path=xl/sharedStrings.xml><?xml version="1.0" encoding="utf-8"?>
<sst xmlns="http://schemas.openxmlformats.org/spreadsheetml/2006/main" count="243" uniqueCount="66">
  <si>
    <t>ЗАДАЧА 1</t>
  </si>
  <si>
    <t xml:space="preserve">Среднее время обработки заявок в ОА одноканальной многофазной СеМО (с), </t>
  </si>
  <si>
    <t>1 фаза,</t>
  </si>
  <si>
    <t>2 фаза,</t>
  </si>
  <si>
    <t>3 фаза,</t>
  </si>
  <si>
    <t>4фаза,</t>
  </si>
  <si>
    <t>5 фаза,</t>
  </si>
  <si>
    <t xml:space="preserve">Кол-во заявок в замкнутой СеМО, </t>
  </si>
  <si>
    <t xml:space="preserve">Кол-во фаз в замкнутой СеМО, </t>
  </si>
  <si>
    <t>№ Вар</t>
  </si>
  <si>
    <t>Кол-во заявок в замкнутой СеМО, N</t>
  </si>
  <si>
    <t>Кол-во фаз в замкнутой СеМО, m</t>
  </si>
  <si>
    <t>X1</t>
  </si>
  <si>
    <t>X2</t>
  </si>
  <si>
    <t>X3</t>
  </si>
  <si>
    <t>X4</t>
  </si>
  <si>
    <t>X5</t>
  </si>
  <si>
    <t>p12</t>
  </si>
  <si>
    <t>p13</t>
  </si>
  <si>
    <t>p14</t>
  </si>
  <si>
    <t>p15</t>
  </si>
  <si>
    <t>Матрица вспомогательных коэффициентов</t>
  </si>
  <si>
    <t>i/j</t>
  </si>
  <si>
    <t>p1</t>
  </si>
  <si>
    <t>p2</t>
  </si>
  <si>
    <t>p3</t>
  </si>
  <si>
    <t>p4</t>
  </si>
  <si>
    <t>p5</t>
  </si>
  <si>
    <t>L</t>
  </si>
  <si>
    <t>Q</t>
  </si>
  <si>
    <t>T</t>
  </si>
  <si>
    <t>W</t>
  </si>
  <si>
    <t>в отчет копировать только строки до N по варианту -&gt;</t>
  </si>
  <si>
    <t>для L</t>
  </si>
  <si>
    <t>Проверка</t>
  </si>
  <si>
    <t>=</t>
  </si>
  <si>
    <t>Tц</t>
  </si>
  <si>
    <t>lambda</t>
  </si>
  <si>
    <t>менять только значения по варианту!</t>
  </si>
  <si>
    <t>4 фаза,</t>
  </si>
  <si>
    <t>5 фаза, (2 ОА)</t>
  </si>
  <si>
    <t>ЗАДАЧА 2</t>
  </si>
  <si>
    <t>в отчет копировать только строки до N по варианту        -&gt;</t>
  </si>
  <si>
    <t>U5</t>
  </si>
  <si>
    <t>ЗАДАЧА 3</t>
  </si>
  <si>
    <t>5 фаза</t>
  </si>
  <si>
    <t>&lt;- для расчета Tц</t>
  </si>
  <si>
    <t>~</t>
  </si>
  <si>
    <t>ЗАДАЧА 4</t>
  </si>
  <si>
    <r>
      <rPr>
        <b/>
        <sz val="14"/>
        <color theme="1"/>
        <rFont val="Calibri"/>
        <family val="2"/>
        <charset val="204"/>
        <scheme val="minor"/>
      </rPr>
      <t>p</t>
    </r>
    <r>
      <rPr>
        <b/>
        <sz val="10"/>
        <color theme="1"/>
        <rFont val="Calibri"/>
        <family val="2"/>
        <charset val="204"/>
        <scheme val="minor"/>
      </rPr>
      <t>c</t>
    </r>
  </si>
  <si>
    <t>B5</t>
  </si>
  <si>
    <t>Метод Базена</t>
  </si>
  <si>
    <t>Метод "Узкое место"</t>
  </si>
  <si>
    <t>Метод "баланса"</t>
  </si>
  <si>
    <t>Сравнение методов</t>
  </si>
  <si>
    <t>Метод</t>
  </si>
  <si>
    <t>Рассчитанная величина</t>
  </si>
  <si>
    <t>, с</t>
  </si>
  <si>
    <t>Базена</t>
  </si>
  <si>
    <t>"узкое место"</t>
  </si>
  <si>
    <t>"баланса"</t>
  </si>
  <si>
    <t>Метод "Базена"</t>
  </si>
  <si>
    <t>Значения по варианту для задачи 5 заполнять только здесь !</t>
  </si>
  <si>
    <t>Относительная погрешность метода "узкое место" по сравнению с методом "Базена"</t>
  </si>
  <si>
    <t>Относительная погрешность метода "баланса" по сравнению с методом "Базена"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</si>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</sst>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00B050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5" tint="-0.249977111117893"/>
      </left>
      <right/>
      <top style="thin">
        <color theme="5" tint="-0.249977111117893"/>
      </top>
      <bottom/>
      <diagonal/>
    </border>
    <border>
      <left/>
      <right/>
      <top style="thin">
        <color theme="5" tint="-0.249977111117893"/>
      </top>
      <bottom/>
      <diagonal/>
    </border>
    <border>
      <left/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/>
      <top/>
      <bottom/>
      <diagonal/>
    </border>
    <border>
      <left/>
      <right style="thin">
        <color theme="5" tint="-0.249977111117893"/>
      </right>
      <top/>
      <bottom/>
      <diagonal/>
    </border>
    <border>
      <left style="thin">
        <color theme="5" tint="-0.249977111117893"/>
      </left>
      <right/>
      <top/>
      <bottom style="thin">
        <color theme="5" tint="-0.249977111117893"/>
      </bottom>
      <diagonal/>
    </border>
    <border>
      <left/>
      <right/>
      <top/>
      <bottom style="thin">
        <color theme="5" tint="-0.249977111117893"/>
      </bottom>
      <diagonal/>
    </border>
    <border>
      <left/>
      <right style="thin">
        <color theme="5" tint="-0.249977111117893"/>
      </right>
      <top/>
      <bottom style="thin">
        <color theme="5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5" tint="-0.249977111117893"/>
      </left>
      <right/>
      <top style="medium">
        <color indexed="64"/>
      </top>
      <bottom/>
      <diagonal/>
    </border>
    <border>
      <left style="thin">
        <color theme="5" tint="-0.249977111117893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theme="5" tint="-0.249977111117893"/>
      </bottom>
      <diagonal/>
    </border>
    <border>
      <left/>
      <right style="medium">
        <color indexed="64"/>
      </right>
      <top/>
      <bottom style="thin">
        <color theme="5" tint="-0.249977111117893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 applyAlignment="1">
      <alignment horizontal="center"/>
    </xf>
    <xf numFmtId="0" fontId="3" fillId="0" borderId="23" xfId="0" applyFont="1" applyBorder="1"/>
    <xf numFmtId="0" fontId="4" fillId="0" borderId="22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0" fillId="0" borderId="22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center"/>
    </xf>
    <xf numFmtId="0" fontId="4" fillId="0" borderId="9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11" xfId="0" applyFont="1" applyBorder="1" applyAlignment="1">
      <alignment horizontal="justify" vertical="center" wrapText="1"/>
    </xf>
    <xf numFmtId="0" fontId="4" fillId="0" borderId="8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9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2</xdr:row>
      <xdr:rowOff>1019175</xdr:rowOff>
    </xdr:from>
    <xdr:to>
      <xdr:col>1</xdr:col>
      <xdr:colOff>742950</xdr:colOff>
      <xdr:row>2</xdr:row>
      <xdr:rowOff>1257300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E6C3C0D-5216-A403-1700-D3BF4E4BF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95450"/>
          <a:ext cx="13335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619125</xdr:colOff>
      <xdr:row>2</xdr:row>
      <xdr:rowOff>838200</xdr:rowOff>
    </xdr:from>
    <xdr:to>
      <xdr:col>2</xdr:col>
      <xdr:colOff>771525</xdr:colOff>
      <xdr:row>2</xdr:row>
      <xdr:rowOff>1076325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7CA6A99-3221-3C94-00E5-6313AC515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514475"/>
          <a:ext cx="15240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1017670</xdr:colOff>
      <xdr:row>1</xdr:row>
      <xdr:rowOff>647700</xdr:rowOff>
    </xdr:from>
    <xdr:to>
      <xdr:col>5</xdr:col>
      <xdr:colOff>190500</xdr:colOff>
      <xdr:row>1</xdr:row>
      <xdr:rowOff>923925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D0E2C19-3147-BA3E-74BC-1D4BCF219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2845" y="847725"/>
          <a:ext cx="22058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723900</xdr:colOff>
      <xdr:row>4</xdr:row>
      <xdr:rowOff>38100</xdr:rowOff>
    </xdr:from>
    <xdr:to>
      <xdr:col>3</xdr:col>
      <xdr:colOff>866775</xdr:colOff>
      <xdr:row>5</xdr:row>
      <xdr:rowOff>85725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A35F44EA-41E7-A455-1327-53BA954DF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390775"/>
          <a:ext cx="1428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809625</xdr:colOff>
      <xdr:row>4</xdr:row>
      <xdr:rowOff>38100</xdr:rowOff>
    </xdr:from>
    <xdr:to>
      <xdr:col>4</xdr:col>
      <xdr:colOff>962025</xdr:colOff>
      <xdr:row>5</xdr:row>
      <xdr:rowOff>85725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717270A-2491-D588-71A9-934656D46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2390775"/>
          <a:ext cx="15240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781050</xdr:colOff>
      <xdr:row>4</xdr:row>
      <xdr:rowOff>57150</xdr:rowOff>
    </xdr:from>
    <xdr:to>
      <xdr:col>5</xdr:col>
      <xdr:colOff>933450</xdr:colOff>
      <xdr:row>5</xdr:row>
      <xdr:rowOff>104775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3CE4BFCE-2CC8-A259-EC57-97115DBF3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2409825"/>
          <a:ext cx="15240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666750</xdr:colOff>
      <xdr:row>4</xdr:row>
      <xdr:rowOff>47625</xdr:rowOff>
    </xdr:from>
    <xdr:to>
      <xdr:col>6</xdr:col>
      <xdr:colOff>819150</xdr:colOff>
      <xdr:row>5</xdr:row>
      <xdr:rowOff>95250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AD6D02A0-6AEC-CD4D-C8B9-A9430B78F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5850" y="2400300"/>
          <a:ext cx="15240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781050</xdr:colOff>
      <xdr:row>4</xdr:row>
      <xdr:rowOff>57150</xdr:rowOff>
    </xdr:from>
    <xdr:to>
      <xdr:col>7</xdr:col>
      <xdr:colOff>933450</xdr:colOff>
      <xdr:row>5</xdr:row>
      <xdr:rowOff>104775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330A8117-8E59-BC0B-8704-23B450618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2409825"/>
          <a:ext cx="15240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676275</xdr:colOff>
      <xdr:row>1</xdr:row>
      <xdr:rowOff>1333500</xdr:rowOff>
    </xdr:from>
    <xdr:to>
      <xdr:col>1</xdr:col>
      <xdr:colOff>809625</xdr:colOff>
      <xdr:row>1</xdr:row>
      <xdr:rowOff>1524000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9D80707E-0AA2-7D45-FC60-37C826E3E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533525"/>
          <a:ext cx="1333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800100</xdr:colOff>
      <xdr:row>1</xdr:row>
      <xdr:rowOff>1200150</xdr:rowOff>
    </xdr:from>
    <xdr:to>
      <xdr:col>2</xdr:col>
      <xdr:colOff>952500</xdr:colOff>
      <xdr:row>1</xdr:row>
      <xdr:rowOff>1400175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30F16CBE-A6A0-696D-66AB-B22B24FD9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400175"/>
          <a:ext cx="1524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95250</xdr:colOff>
      <xdr:row>1</xdr:row>
      <xdr:rowOff>1066800</xdr:rowOff>
    </xdr:from>
    <xdr:to>
      <xdr:col>5</xdr:col>
      <xdr:colOff>238125</xdr:colOff>
      <xdr:row>1</xdr:row>
      <xdr:rowOff>1257300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ECF11EF1-E94A-14AA-C13F-35239AA2E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1266825"/>
          <a:ext cx="1428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428625</xdr:colOff>
      <xdr:row>4</xdr:row>
      <xdr:rowOff>38100</xdr:rowOff>
    </xdr:from>
    <xdr:to>
      <xdr:col>3</xdr:col>
      <xdr:colOff>571500</xdr:colOff>
      <xdr:row>4</xdr:row>
      <xdr:rowOff>228600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4CEAC3DB-881B-FC89-E73D-FD38C9E60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2295525"/>
          <a:ext cx="1428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428625</xdr:colOff>
      <xdr:row>4</xdr:row>
      <xdr:rowOff>57150</xdr:rowOff>
    </xdr:from>
    <xdr:to>
      <xdr:col>4</xdr:col>
      <xdr:colOff>581025</xdr:colOff>
      <xdr:row>5</xdr:row>
      <xdr:rowOff>9525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B4FCC0F5-8793-5B63-778E-9E67A096C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2314575"/>
          <a:ext cx="152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361950</xdr:colOff>
      <xdr:row>4</xdr:row>
      <xdr:rowOff>57150</xdr:rowOff>
    </xdr:from>
    <xdr:to>
      <xdr:col>5</xdr:col>
      <xdr:colOff>514350</xdr:colOff>
      <xdr:row>5</xdr:row>
      <xdr:rowOff>9525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AE33D8B2-DFD8-5AFE-9180-077614BA0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314575"/>
          <a:ext cx="152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390525</xdr:colOff>
      <xdr:row>4</xdr:row>
      <xdr:rowOff>76200</xdr:rowOff>
    </xdr:from>
    <xdr:to>
      <xdr:col>6</xdr:col>
      <xdr:colOff>542925</xdr:colOff>
      <xdr:row>5</xdr:row>
      <xdr:rowOff>28575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526E4EC0-EEF9-5387-DBFF-66A1BE10B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2333625"/>
          <a:ext cx="152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514350</xdr:colOff>
      <xdr:row>4</xdr:row>
      <xdr:rowOff>28575</xdr:rowOff>
    </xdr:from>
    <xdr:to>
      <xdr:col>7</xdr:col>
      <xdr:colOff>666750</xdr:colOff>
      <xdr:row>4</xdr:row>
      <xdr:rowOff>219075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B0EA1738-22A7-1B5D-8F4D-FC62396FA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0" y="2286000"/>
          <a:ext cx="152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613645</xdr:colOff>
      <xdr:row>1</xdr:row>
      <xdr:rowOff>1281308</xdr:rowOff>
    </xdr:from>
    <xdr:to>
      <xdr:col>1</xdr:col>
      <xdr:colOff>746995</xdr:colOff>
      <xdr:row>1</xdr:row>
      <xdr:rowOff>1471808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C55655E-23C6-4CD5-9389-C3FD83178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070" y="1469198"/>
          <a:ext cx="1333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800100</xdr:colOff>
      <xdr:row>1</xdr:row>
      <xdr:rowOff>1158398</xdr:rowOff>
    </xdr:from>
    <xdr:to>
      <xdr:col>2</xdr:col>
      <xdr:colOff>952500</xdr:colOff>
      <xdr:row>1</xdr:row>
      <xdr:rowOff>1358423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9FEE38C-7B12-48B9-8C48-16EB94F43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0675" y="1346288"/>
          <a:ext cx="1524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846811</xdr:colOff>
      <xdr:row>1</xdr:row>
      <xdr:rowOff>1045924</xdr:rowOff>
    </xdr:from>
    <xdr:to>
      <xdr:col>4</xdr:col>
      <xdr:colOff>39796</xdr:colOff>
      <xdr:row>1</xdr:row>
      <xdr:rowOff>1236424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2902670-C190-4636-B471-A3A8B38E9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0784" y="1233814"/>
          <a:ext cx="1428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428625</xdr:colOff>
      <xdr:row>4</xdr:row>
      <xdr:rowOff>38100</xdr:rowOff>
    </xdr:from>
    <xdr:to>
      <xdr:col>3</xdr:col>
      <xdr:colOff>571500</xdr:colOff>
      <xdr:row>4</xdr:row>
      <xdr:rowOff>228600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DE13E2C-A327-42E6-9CB7-E3ACC98E7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1345" y="2263140"/>
          <a:ext cx="1428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428625</xdr:colOff>
      <xdr:row>4</xdr:row>
      <xdr:rowOff>57150</xdr:rowOff>
    </xdr:from>
    <xdr:to>
      <xdr:col>4</xdr:col>
      <xdr:colOff>581025</xdr:colOff>
      <xdr:row>5</xdr:row>
      <xdr:rowOff>9525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6EBAA8C5-DC42-410C-9172-74DD48244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3845" y="2282190"/>
          <a:ext cx="152400" cy="188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361950</xdr:colOff>
      <xdr:row>4</xdr:row>
      <xdr:rowOff>57150</xdr:rowOff>
    </xdr:from>
    <xdr:to>
      <xdr:col>5</xdr:col>
      <xdr:colOff>514350</xdr:colOff>
      <xdr:row>5</xdr:row>
      <xdr:rowOff>9525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44767E53-1E44-4A1C-961B-405AA71C1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7290" y="2282190"/>
          <a:ext cx="152400" cy="188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390525</xdr:colOff>
      <xdr:row>4</xdr:row>
      <xdr:rowOff>76200</xdr:rowOff>
    </xdr:from>
    <xdr:to>
      <xdr:col>6</xdr:col>
      <xdr:colOff>542925</xdr:colOff>
      <xdr:row>5</xdr:row>
      <xdr:rowOff>28575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34306486-952E-4B3A-9878-033E3B026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2301240"/>
          <a:ext cx="152400" cy="188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514350</xdr:colOff>
      <xdr:row>4</xdr:row>
      <xdr:rowOff>28575</xdr:rowOff>
    </xdr:from>
    <xdr:to>
      <xdr:col>7</xdr:col>
      <xdr:colOff>666750</xdr:colOff>
      <xdr:row>4</xdr:row>
      <xdr:rowOff>219075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748E0F39-2D70-463B-96D9-7D2BE09F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0870" y="2253615"/>
          <a:ext cx="152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613645</xdr:colOff>
      <xdr:row>1</xdr:row>
      <xdr:rowOff>1281308</xdr:rowOff>
    </xdr:from>
    <xdr:to>
      <xdr:col>1</xdr:col>
      <xdr:colOff>746995</xdr:colOff>
      <xdr:row>1</xdr:row>
      <xdr:rowOff>1471808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49933F4-A36D-4B36-8EBE-603C2EBDE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0865" y="1471808"/>
          <a:ext cx="1333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800100</xdr:colOff>
      <xdr:row>1</xdr:row>
      <xdr:rowOff>1158398</xdr:rowOff>
    </xdr:from>
    <xdr:to>
      <xdr:col>2</xdr:col>
      <xdr:colOff>952500</xdr:colOff>
      <xdr:row>1</xdr:row>
      <xdr:rowOff>1358423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FC63408-FFCE-4793-85D8-393919852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1740" y="1348898"/>
          <a:ext cx="1524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892531</xdr:colOff>
      <xdr:row>1</xdr:row>
      <xdr:rowOff>1038304</xdr:rowOff>
    </xdr:from>
    <xdr:to>
      <xdr:col>5</xdr:col>
      <xdr:colOff>77896</xdr:colOff>
      <xdr:row>1</xdr:row>
      <xdr:rowOff>1228804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7659694-C256-4B76-8930-C3982D162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5371" y="1228804"/>
          <a:ext cx="14548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428625</xdr:colOff>
      <xdr:row>4</xdr:row>
      <xdr:rowOff>38100</xdr:rowOff>
    </xdr:from>
    <xdr:to>
      <xdr:col>3</xdr:col>
      <xdr:colOff>571500</xdr:colOff>
      <xdr:row>4</xdr:row>
      <xdr:rowOff>228600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AFACF3B8-04F3-4C9A-8187-664EC0CDE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8965" y="2263140"/>
          <a:ext cx="1428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428625</xdr:colOff>
      <xdr:row>4</xdr:row>
      <xdr:rowOff>57150</xdr:rowOff>
    </xdr:from>
    <xdr:to>
      <xdr:col>4</xdr:col>
      <xdr:colOff>581025</xdr:colOff>
      <xdr:row>5</xdr:row>
      <xdr:rowOff>9525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1583C6B7-E09A-460C-BDFD-CD9C36977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1465" y="2282190"/>
          <a:ext cx="152400" cy="188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361950</xdr:colOff>
      <xdr:row>4</xdr:row>
      <xdr:rowOff>57150</xdr:rowOff>
    </xdr:from>
    <xdr:to>
      <xdr:col>5</xdr:col>
      <xdr:colOff>514350</xdr:colOff>
      <xdr:row>5</xdr:row>
      <xdr:rowOff>9525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3B45247C-E786-4412-829B-EB3554A47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4910" y="2282190"/>
          <a:ext cx="152400" cy="188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390525</xdr:colOff>
      <xdr:row>4</xdr:row>
      <xdr:rowOff>76200</xdr:rowOff>
    </xdr:from>
    <xdr:to>
      <xdr:col>6</xdr:col>
      <xdr:colOff>542925</xdr:colOff>
      <xdr:row>5</xdr:row>
      <xdr:rowOff>28575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66EBCDE-7592-4B5B-A6F6-E8CEDD13E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4545" y="2301240"/>
          <a:ext cx="152400" cy="188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514350</xdr:colOff>
      <xdr:row>4</xdr:row>
      <xdr:rowOff>28575</xdr:rowOff>
    </xdr:from>
    <xdr:to>
      <xdr:col>7</xdr:col>
      <xdr:colOff>666750</xdr:colOff>
      <xdr:row>4</xdr:row>
      <xdr:rowOff>219075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697B25EC-E1D1-416D-A0E7-0B2B8887F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8490" y="2253615"/>
          <a:ext cx="152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613645</xdr:colOff>
      <xdr:row>1</xdr:row>
      <xdr:rowOff>1281308</xdr:rowOff>
    </xdr:from>
    <xdr:to>
      <xdr:col>1</xdr:col>
      <xdr:colOff>746995</xdr:colOff>
      <xdr:row>1</xdr:row>
      <xdr:rowOff>1471808</xdr:rowOff>
    </xdr:to>
    <xdr:pic>
      <xdr:nvPicPr>
        <xdr:cNvPr id="74" name="Рисунок 73">
          <a:extLst>
            <a:ext uri="{FF2B5EF4-FFF2-40B4-BE49-F238E27FC236}">
              <a16:creationId xmlns:a16="http://schemas.microsoft.com/office/drawing/2014/main" id="{52A95D6F-5401-4E62-8B3A-0AAAFA631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965" y="1471808"/>
          <a:ext cx="1333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800100</xdr:colOff>
      <xdr:row>1</xdr:row>
      <xdr:rowOff>1158398</xdr:rowOff>
    </xdr:from>
    <xdr:to>
      <xdr:col>2</xdr:col>
      <xdr:colOff>952500</xdr:colOff>
      <xdr:row>1</xdr:row>
      <xdr:rowOff>1358423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1CF95841-988E-404D-9EBE-D15CE84AA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9840" y="1348898"/>
          <a:ext cx="1524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822193</xdr:colOff>
      <xdr:row>1</xdr:row>
      <xdr:rowOff>1050027</xdr:rowOff>
    </xdr:from>
    <xdr:to>
      <xdr:col>4</xdr:col>
      <xdr:colOff>19282</xdr:colOff>
      <xdr:row>1</xdr:row>
      <xdr:rowOff>1240527</xdr:rowOff>
    </xdr:to>
    <xdr:pic>
      <xdr:nvPicPr>
        <xdr:cNvPr id="76" name="Рисунок 75">
          <a:extLst>
            <a:ext uri="{FF2B5EF4-FFF2-40B4-BE49-F238E27FC236}">
              <a16:creationId xmlns:a16="http://schemas.microsoft.com/office/drawing/2014/main" id="{839A187A-6CEF-4B58-AB06-AB8DF80A4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0633" y="1240527"/>
          <a:ext cx="149589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428625</xdr:colOff>
      <xdr:row>4</xdr:row>
      <xdr:rowOff>38100</xdr:rowOff>
    </xdr:from>
    <xdr:to>
      <xdr:col>3</xdr:col>
      <xdr:colOff>571500</xdr:colOff>
      <xdr:row>4</xdr:row>
      <xdr:rowOff>228600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1EF599BA-DB5F-475D-8311-B975E7B83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7065" y="2263140"/>
          <a:ext cx="1428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428625</xdr:colOff>
      <xdr:row>4</xdr:row>
      <xdr:rowOff>57150</xdr:rowOff>
    </xdr:from>
    <xdr:to>
      <xdr:col>4</xdr:col>
      <xdr:colOff>581025</xdr:colOff>
      <xdr:row>5</xdr:row>
      <xdr:rowOff>9525</xdr:rowOff>
    </xdr:to>
    <xdr:pic>
      <xdr:nvPicPr>
        <xdr:cNvPr id="78" name="Рисунок 77">
          <a:extLst>
            <a:ext uri="{FF2B5EF4-FFF2-40B4-BE49-F238E27FC236}">
              <a16:creationId xmlns:a16="http://schemas.microsoft.com/office/drawing/2014/main" id="{08F99FF8-E529-4E7C-8804-4D36D5E46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9565" y="2282190"/>
          <a:ext cx="152400" cy="188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361950</xdr:colOff>
      <xdr:row>4</xdr:row>
      <xdr:rowOff>57150</xdr:rowOff>
    </xdr:from>
    <xdr:to>
      <xdr:col>5</xdr:col>
      <xdr:colOff>514350</xdr:colOff>
      <xdr:row>5</xdr:row>
      <xdr:rowOff>9525</xdr:rowOff>
    </xdr:to>
    <xdr:pic>
      <xdr:nvPicPr>
        <xdr:cNvPr id="79" name="Рисунок 78">
          <a:extLst>
            <a:ext uri="{FF2B5EF4-FFF2-40B4-BE49-F238E27FC236}">
              <a16:creationId xmlns:a16="http://schemas.microsoft.com/office/drawing/2014/main" id="{31F5B7BC-F7A6-4D62-AA1A-742FD502F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3010" y="2282190"/>
          <a:ext cx="152400" cy="188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390525</xdr:colOff>
      <xdr:row>4</xdr:row>
      <xdr:rowOff>76200</xdr:rowOff>
    </xdr:from>
    <xdr:to>
      <xdr:col>6</xdr:col>
      <xdr:colOff>542925</xdr:colOff>
      <xdr:row>5</xdr:row>
      <xdr:rowOff>28575</xdr:rowOff>
    </xdr:to>
    <xdr:pic>
      <xdr:nvPicPr>
        <xdr:cNvPr id="80" name="Рисунок 79">
          <a:extLst>
            <a:ext uri="{FF2B5EF4-FFF2-40B4-BE49-F238E27FC236}">
              <a16:creationId xmlns:a16="http://schemas.microsoft.com/office/drawing/2014/main" id="{A37B584F-4D9A-4FC4-86B5-85BE640DC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2645" y="2301240"/>
          <a:ext cx="152400" cy="188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514350</xdr:colOff>
      <xdr:row>4</xdr:row>
      <xdr:rowOff>28575</xdr:rowOff>
    </xdr:from>
    <xdr:to>
      <xdr:col>7</xdr:col>
      <xdr:colOff>666750</xdr:colOff>
      <xdr:row>4</xdr:row>
      <xdr:rowOff>219075</xdr:rowOff>
    </xdr:to>
    <xdr:pic>
      <xdr:nvPicPr>
        <xdr:cNvPr id="81" name="Рисунок 80">
          <a:extLst>
            <a:ext uri="{FF2B5EF4-FFF2-40B4-BE49-F238E27FC236}">
              <a16:creationId xmlns:a16="http://schemas.microsoft.com/office/drawing/2014/main" id="{A0D2AF60-2B60-43AF-8641-6C8F0C0A7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6590" y="2253615"/>
          <a:ext cx="152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45720</xdr:colOff>
      <xdr:row>10</xdr:row>
      <xdr:rowOff>0</xdr:rowOff>
    </xdr:from>
    <xdr:to>
      <xdr:col>1</xdr:col>
      <xdr:colOff>220980</xdr:colOff>
      <xdr:row>11</xdr:row>
      <xdr:rowOff>0</xdr:rowOff>
    </xdr:to>
    <xdr:pic>
      <xdr:nvPicPr>
        <xdr:cNvPr id="82" name="Рисунок 81">
          <a:extLst>
            <a:ext uri="{FF2B5EF4-FFF2-40B4-BE49-F238E27FC236}">
              <a16:creationId xmlns:a16="http://schemas.microsoft.com/office/drawing/2014/main" id="{3704C2DB-6947-472E-8082-61AD3C042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" y="8488680"/>
          <a:ext cx="17526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76200</xdr:colOff>
      <xdr:row>10</xdr:row>
      <xdr:rowOff>0</xdr:rowOff>
    </xdr:from>
    <xdr:to>
      <xdr:col>2</xdr:col>
      <xdr:colOff>251460</xdr:colOff>
      <xdr:row>11</xdr:row>
      <xdr:rowOff>0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6922195F-DA75-4187-A080-726C371CD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5940" y="8488680"/>
          <a:ext cx="17526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38100</xdr:colOff>
      <xdr:row>10</xdr:row>
      <xdr:rowOff>0</xdr:rowOff>
    </xdr:from>
    <xdr:to>
      <xdr:col>3</xdr:col>
      <xdr:colOff>213360</xdr:colOff>
      <xdr:row>11</xdr:row>
      <xdr:rowOff>0</xdr:rowOff>
    </xdr:to>
    <xdr:pic>
      <xdr:nvPicPr>
        <xdr:cNvPr id="84" name="Рисунок 83">
          <a:extLst>
            <a:ext uri="{FF2B5EF4-FFF2-40B4-BE49-F238E27FC236}">
              <a16:creationId xmlns:a16="http://schemas.microsoft.com/office/drawing/2014/main" id="{E35899CF-44FC-434B-93BA-99FE1DCB5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6540" y="8488680"/>
          <a:ext cx="17526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76200</xdr:colOff>
      <xdr:row>10</xdr:row>
      <xdr:rowOff>0</xdr:rowOff>
    </xdr:from>
    <xdr:to>
      <xdr:col>4</xdr:col>
      <xdr:colOff>251460</xdr:colOff>
      <xdr:row>11</xdr:row>
      <xdr:rowOff>0</xdr:rowOff>
    </xdr:to>
    <xdr:pic>
      <xdr:nvPicPr>
        <xdr:cNvPr id="85" name="Рисунок 84">
          <a:extLst>
            <a:ext uri="{FF2B5EF4-FFF2-40B4-BE49-F238E27FC236}">
              <a16:creationId xmlns:a16="http://schemas.microsoft.com/office/drawing/2014/main" id="{736B470B-AB34-4CFA-8C01-490646B01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7140" y="8488680"/>
          <a:ext cx="17526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60960</xdr:colOff>
      <xdr:row>10</xdr:row>
      <xdr:rowOff>0</xdr:rowOff>
    </xdr:from>
    <xdr:to>
      <xdr:col>5</xdr:col>
      <xdr:colOff>236220</xdr:colOff>
      <xdr:row>11</xdr:row>
      <xdr:rowOff>0</xdr:rowOff>
    </xdr:to>
    <xdr:pic>
      <xdr:nvPicPr>
        <xdr:cNvPr id="86" name="Рисунок 85">
          <a:extLst>
            <a:ext uri="{FF2B5EF4-FFF2-40B4-BE49-F238E27FC236}">
              <a16:creationId xmlns:a16="http://schemas.microsoft.com/office/drawing/2014/main" id="{23028035-4756-4B18-ACFB-469EA86A8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2020" y="8488680"/>
          <a:ext cx="17526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22860</xdr:colOff>
      <xdr:row>10</xdr:row>
      <xdr:rowOff>0</xdr:rowOff>
    </xdr:from>
    <xdr:to>
      <xdr:col>6</xdr:col>
      <xdr:colOff>182880</xdr:colOff>
      <xdr:row>11</xdr:row>
      <xdr:rowOff>22860</xdr:rowOff>
    </xdr:to>
    <xdr:pic>
      <xdr:nvPicPr>
        <xdr:cNvPr id="87" name="Рисунок 86">
          <a:extLst>
            <a:ext uri="{FF2B5EF4-FFF2-40B4-BE49-F238E27FC236}">
              <a16:creationId xmlns:a16="http://schemas.microsoft.com/office/drawing/2014/main" id="{ED52FC76-23E3-426F-9C9C-D9972F45B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4980" y="8488680"/>
          <a:ext cx="16002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45720</xdr:colOff>
      <xdr:row>16</xdr:row>
      <xdr:rowOff>0</xdr:rowOff>
    </xdr:from>
    <xdr:to>
      <xdr:col>1</xdr:col>
      <xdr:colOff>220980</xdr:colOff>
      <xdr:row>17</xdr:row>
      <xdr:rowOff>0</xdr:rowOff>
    </xdr:to>
    <xdr:pic>
      <xdr:nvPicPr>
        <xdr:cNvPr id="88" name="Рисунок 87">
          <a:extLst>
            <a:ext uri="{FF2B5EF4-FFF2-40B4-BE49-F238E27FC236}">
              <a16:creationId xmlns:a16="http://schemas.microsoft.com/office/drawing/2014/main" id="{CBBBB2CB-83D4-4D0D-B3CC-7B38E7028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252" y="3443468"/>
          <a:ext cx="175260" cy="192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76200</xdr:colOff>
      <xdr:row>16</xdr:row>
      <xdr:rowOff>0</xdr:rowOff>
    </xdr:from>
    <xdr:to>
      <xdr:col>2</xdr:col>
      <xdr:colOff>251460</xdr:colOff>
      <xdr:row>17</xdr:row>
      <xdr:rowOff>0</xdr:rowOff>
    </xdr:to>
    <xdr:pic>
      <xdr:nvPicPr>
        <xdr:cNvPr id="89" name="Рисунок 88">
          <a:extLst>
            <a:ext uri="{FF2B5EF4-FFF2-40B4-BE49-F238E27FC236}">
              <a16:creationId xmlns:a16="http://schemas.microsoft.com/office/drawing/2014/main" id="{E72AE748-542B-4907-8FBE-70EDF33FE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5390" y="3443468"/>
          <a:ext cx="175260" cy="192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38100</xdr:colOff>
      <xdr:row>16</xdr:row>
      <xdr:rowOff>0</xdr:rowOff>
    </xdr:from>
    <xdr:to>
      <xdr:col>3</xdr:col>
      <xdr:colOff>213360</xdr:colOff>
      <xdr:row>17</xdr:row>
      <xdr:rowOff>0</xdr:rowOff>
    </xdr:to>
    <xdr:pic>
      <xdr:nvPicPr>
        <xdr:cNvPr id="90" name="Рисунок 89">
          <a:extLst>
            <a:ext uri="{FF2B5EF4-FFF2-40B4-BE49-F238E27FC236}">
              <a16:creationId xmlns:a16="http://schemas.microsoft.com/office/drawing/2014/main" id="{15A2C5D5-493E-4F9C-9957-1A5FF6DB8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9366" y="3443468"/>
          <a:ext cx="175260" cy="192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76200</xdr:colOff>
      <xdr:row>16</xdr:row>
      <xdr:rowOff>0</xdr:rowOff>
    </xdr:from>
    <xdr:to>
      <xdr:col>4</xdr:col>
      <xdr:colOff>251460</xdr:colOff>
      <xdr:row>17</xdr:row>
      <xdr:rowOff>0</xdr:rowOff>
    </xdr:to>
    <xdr:pic>
      <xdr:nvPicPr>
        <xdr:cNvPr id="91" name="Рисунок 90">
          <a:extLst>
            <a:ext uri="{FF2B5EF4-FFF2-40B4-BE49-F238E27FC236}">
              <a16:creationId xmlns:a16="http://schemas.microsoft.com/office/drawing/2014/main" id="{68B67607-D19B-452A-AFBD-F72F2A708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2377" y="3443468"/>
          <a:ext cx="175260" cy="192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60960</xdr:colOff>
      <xdr:row>16</xdr:row>
      <xdr:rowOff>0</xdr:rowOff>
    </xdr:from>
    <xdr:to>
      <xdr:col>5</xdr:col>
      <xdr:colOff>236220</xdr:colOff>
      <xdr:row>17</xdr:row>
      <xdr:rowOff>0</xdr:rowOff>
    </xdr:to>
    <xdr:pic>
      <xdr:nvPicPr>
        <xdr:cNvPr id="92" name="Рисунок 91">
          <a:extLst>
            <a:ext uri="{FF2B5EF4-FFF2-40B4-BE49-F238E27FC236}">
              <a16:creationId xmlns:a16="http://schemas.microsoft.com/office/drawing/2014/main" id="{DF21E7B4-2373-4FF5-98BF-9DA9E34E8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1694" y="3443468"/>
          <a:ext cx="175260" cy="192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32506</xdr:colOff>
      <xdr:row>16</xdr:row>
      <xdr:rowOff>0</xdr:rowOff>
    </xdr:from>
    <xdr:to>
      <xdr:col>6</xdr:col>
      <xdr:colOff>192526</xdr:colOff>
      <xdr:row>17</xdr:row>
      <xdr:rowOff>22860</xdr:rowOff>
    </xdr:to>
    <xdr:pic>
      <xdr:nvPicPr>
        <xdr:cNvPr id="93" name="Рисунок 92">
          <a:extLst>
            <a:ext uri="{FF2B5EF4-FFF2-40B4-BE49-F238E27FC236}">
              <a16:creationId xmlns:a16="http://schemas.microsoft.com/office/drawing/2014/main" id="{460FF094-24BC-4F31-8052-BF9138331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1696" y="4562354"/>
          <a:ext cx="160020" cy="254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45720</xdr:colOff>
      <xdr:row>20</xdr:row>
      <xdr:rowOff>0</xdr:rowOff>
    </xdr:from>
    <xdr:to>
      <xdr:col>1</xdr:col>
      <xdr:colOff>220980</xdr:colOff>
      <xdr:row>21</xdr:row>
      <xdr:rowOff>0</xdr:rowOff>
    </xdr:to>
    <xdr:pic>
      <xdr:nvPicPr>
        <xdr:cNvPr id="94" name="Рисунок 93">
          <a:extLst>
            <a:ext uri="{FF2B5EF4-FFF2-40B4-BE49-F238E27FC236}">
              <a16:creationId xmlns:a16="http://schemas.microsoft.com/office/drawing/2014/main" id="{16DC222D-A767-41A8-A5A9-338B6DC5C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252" y="3443468"/>
          <a:ext cx="175260" cy="192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76200</xdr:colOff>
      <xdr:row>20</xdr:row>
      <xdr:rowOff>0</xdr:rowOff>
    </xdr:from>
    <xdr:to>
      <xdr:col>2</xdr:col>
      <xdr:colOff>251460</xdr:colOff>
      <xdr:row>21</xdr:row>
      <xdr:rowOff>0</xdr:rowOff>
    </xdr:to>
    <xdr:pic>
      <xdr:nvPicPr>
        <xdr:cNvPr id="95" name="Рисунок 94">
          <a:extLst>
            <a:ext uri="{FF2B5EF4-FFF2-40B4-BE49-F238E27FC236}">
              <a16:creationId xmlns:a16="http://schemas.microsoft.com/office/drawing/2014/main" id="{78F2374D-1FE8-46D1-9E90-F2F5D6F98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5390" y="3443468"/>
          <a:ext cx="175260" cy="192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38100</xdr:colOff>
      <xdr:row>20</xdr:row>
      <xdr:rowOff>0</xdr:rowOff>
    </xdr:from>
    <xdr:to>
      <xdr:col>3</xdr:col>
      <xdr:colOff>213360</xdr:colOff>
      <xdr:row>21</xdr:row>
      <xdr:rowOff>0</xdr:rowOff>
    </xdr:to>
    <xdr:pic>
      <xdr:nvPicPr>
        <xdr:cNvPr id="96" name="Рисунок 95">
          <a:extLst>
            <a:ext uri="{FF2B5EF4-FFF2-40B4-BE49-F238E27FC236}">
              <a16:creationId xmlns:a16="http://schemas.microsoft.com/office/drawing/2014/main" id="{1E94697E-C4CA-468F-AC8F-9C003A8E1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9366" y="3443468"/>
          <a:ext cx="175260" cy="192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76200</xdr:colOff>
      <xdr:row>20</xdr:row>
      <xdr:rowOff>0</xdr:rowOff>
    </xdr:from>
    <xdr:to>
      <xdr:col>4</xdr:col>
      <xdr:colOff>251460</xdr:colOff>
      <xdr:row>21</xdr:row>
      <xdr:rowOff>0</xdr:rowOff>
    </xdr:to>
    <xdr:pic>
      <xdr:nvPicPr>
        <xdr:cNvPr id="97" name="Рисунок 96">
          <a:extLst>
            <a:ext uri="{FF2B5EF4-FFF2-40B4-BE49-F238E27FC236}">
              <a16:creationId xmlns:a16="http://schemas.microsoft.com/office/drawing/2014/main" id="{1E26D226-B044-4A83-9E1C-B63F41BB0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2377" y="3443468"/>
          <a:ext cx="175260" cy="192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60960</xdr:colOff>
      <xdr:row>20</xdr:row>
      <xdr:rowOff>0</xdr:rowOff>
    </xdr:from>
    <xdr:to>
      <xdr:col>5</xdr:col>
      <xdr:colOff>236220</xdr:colOff>
      <xdr:row>21</xdr:row>
      <xdr:rowOff>0</xdr:rowOff>
    </xdr:to>
    <xdr:pic>
      <xdr:nvPicPr>
        <xdr:cNvPr id="98" name="Рисунок 97">
          <a:extLst>
            <a:ext uri="{FF2B5EF4-FFF2-40B4-BE49-F238E27FC236}">
              <a16:creationId xmlns:a16="http://schemas.microsoft.com/office/drawing/2014/main" id="{4687CFAC-A2FA-4E9B-8973-4E1EE8A43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1694" y="3443468"/>
          <a:ext cx="175260" cy="192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42152</xdr:colOff>
      <xdr:row>20</xdr:row>
      <xdr:rowOff>0</xdr:rowOff>
    </xdr:from>
    <xdr:to>
      <xdr:col>6</xdr:col>
      <xdr:colOff>202172</xdr:colOff>
      <xdr:row>21</xdr:row>
      <xdr:rowOff>22860</xdr:rowOff>
    </xdr:to>
    <xdr:pic>
      <xdr:nvPicPr>
        <xdr:cNvPr id="99" name="Рисунок 98">
          <a:extLst>
            <a:ext uri="{FF2B5EF4-FFF2-40B4-BE49-F238E27FC236}">
              <a16:creationId xmlns:a16="http://schemas.microsoft.com/office/drawing/2014/main" id="{135256A8-AF17-4A34-9145-0818D71E8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342" y="5160380"/>
          <a:ext cx="160020" cy="254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2</xdr:row>
      <xdr:rowOff>1019175</xdr:rowOff>
    </xdr:from>
    <xdr:to>
      <xdr:col>1</xdr:col>
      <xdr:colOff>742950</xdr:colOff>
      <xdr:row>2</xdr:row>
      <xdr:rowOff>1257300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24F2C83-4159-48DD-9E42-31BF669E3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23975"/>
          <a:ext cx="133350" cy="1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619125</xdr:colOff>
      <xdr:row>2</xdr:row>
      <xdr:rowOff>838200</xdr:rowOff>
    </xdr:from>
    <xdr:to>
      <xdr:col>2</xdr:col>
      <xdr:colOff>771525</xdr:colOff>
      <xdr:row>2</xdr:row>
      <xdr:rowOff>1076325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F7F2183-FD56-44BF-A8B2-7E6C5FB44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7405" y="1325880"/>
          <a:ext cx="152400" cy="1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910991</xdr:colOff>
      <xdr:row>1</xdr:row>
      <xdr:rowOff>655321</xdr:rowOff>
    </xdr:from>
    <xdr:to>
      <xdr:col>5</xdr:col>
      <xdr:colOff>30481</xdr:colOff>
      <xdr:row>1</xdr:row>
      <xdr:rowOff>914401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6AA2FF8-6099-448F-B9C9-36DFED48E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651" y="845821"/>
          <a:ext cx="19391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723900</xdr:colOff>
      <xdr:row>4</xdr:row>
      <xdr:rowOff>38100</xdr:rowOff>
    </xdr:from>
    <xdr:to>
      <xdr:col>3</xdr:col>
      <xdr:colOff>866775</xdr:colOff>
      <xdr:row>5</xdr:row>
      <xdr:rowOff>85725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78F3031-BE75-4A8E-8EFD-43A1A1798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" y="1554480"/>
          <a:ext cx="142875" cy="230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809625</xdr:colOff>
      <xdr:row>4</xdr:row>
      <xdr:rowOff>38100</xdr:rowOff>
    </xdr:from>
    <xdr:to>
      <xdr:col>4</xdr:col>
      <xdr:colOff>962025</xdr:colOff>
      <xdr:row>5</xdr:row>
      <xdr:rowOff>85725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BD07F3B0-F0DB-4169-808F-DFFC5A8F3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5285" y="1554480"/>
          <a:ext cx="152400" cy="230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781050</xdr:colOff>
      <xdr:row>4</xdr:row>
      <xdr:rowOff>57150</xdr:rowOff>
    </xdr:from>
    <xdr:to>
      <xdr:col>5</xdr:col>
      <xdr:colOff>933450</xdr:colOff>
      <xdr:row>5</xdr:row>
      <xdr:rowOff>104775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60442473-050C-44BC-AC9D-A2431AAFD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1130" y="1573530"/>
          <a:ext cx="152400" cy="230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666750</xdr:colOff>
      <xdr:row>4</xdr:row>
      <xdr:rowOff>47625</xdr:rowOff>
    </xdr:from>
    <xdr:to>
      <xdr:col>6</xdr:col>
      <xdr:colOff>819150</xdr:colOff>
      <xdr:row>5</xdr:row>
      <xdr:rowOff>95250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DA6D929-321B-4B03-A21A-26E78C2FC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7430" y="1564005"/>
          <a:ext cx="152400" cy="230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781050</xdr:colOff>
      <xdr:row>4</xdr:row>
      <xdr:rowOff>57150</xdr:rowOff>
    </xdr:from>
    <xdr:to>
      <xdr:col>7</xdr:col>
      <xdr:colOff>933450</xdr:colOff>
      <xdr:row>5</xdr:row>
      <xdr:rowOff>104775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370CA63-BF43-43EB-BC84-1D8517204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0410" y="1573530"/>
          <a:ext cx="152400" cy="230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613645</xdr:colOff>
      <xdr:row>1</xdr:row>
      <xdr:rowOff>1281308</xdr:rowOff>
    </xdr:from>
    <xdr:to>
      <xdr:col>1</xdr:col>
      <xdr:colOff>746995</xdr:colOff>
      <xdr:row>1</xdr:row>
      <xdr:rowOff>1471808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D7A3C7CF-8B05-42DD-A34E-565D2E1F9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0865" y="1471808"/>
          <a:ext cx="1333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800100</xdr:colOff>
      <xdr:row>1</xdr:row>
      <xdr:rowOff>1158398</xdr:rowOff>
    </xdr:from>
    <xdr:to>
      <xdr:col>2</xdr:col>
      <xdr:colOff>952500</xdr:colOff>
      <xdr:row>1</xdr:row>
      <xdr:rowOff>1358423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F0FBCBFE-F920-44B0-8F10-39E3AE138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1740" y="1348898"/>
          <a:ext cx="1524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846811</xdr:colOff>
      <xdr:row>1</xdr:row>
      <xdr:rowOff>1045924</xdr:rowOff>
    </xdr:from>
    <xdr:to>
      <xdr:col>4</xdr:col>
      <xdr:colOff>39796</xdr:colOff>
      <xdr:row>1</xdr:row>
      <xdr:rowOff>1236424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75F3D754-46CD-437D-A6AC-AB7BE884B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7151" y="1236424"/>
          <a:ext cx="14548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428625</xdr:colOff>
      <xdr:row>4</xdr:row>
      <xdr:rowOff>38100</xdr:rowOff>
    </xdr:from>
    <xdr:to>
      <xdr:col>3</xdr:col>
      <xdr:colOff>571500</xdr:colOff>
      <xdr:row>4</xdr:row>
      <xdr:rowOff>228600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AE3AEC38-8539-44EC-B8DC-1173F9329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8965" y="2263140"/>
          <a:ext cx="1428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428625</xdr:colOff>
      <xdr:row>4</xdr:row>
      <xdr:rowOff>57150</xdr:rowOff>
    </xdr:from>
    <xdr:to>
      <xdr:col>4</xdr:col>
      <xdr:colOff>581025</xdr:colOff>
      <xdr:row>5</xdr:row>
      <xdr:rowOff>9525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7D96DD8B-8A81-45CB-887E-52DD5F7DE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1465" y="2282190"/>
          <a:ext cx="152400" cy="188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361950</xdr:colOff>
      <xdr:row>4</xdr:row>
      <xdr:rowOff>57150</xdr:rowOff>
    </xdr:from>
    <xdr:to>
      <xdr:col>5</xdr:col>
      <xdr:colOff>514350</xdr:colOff>
      <xdr:row>5</xdr:row>
      <xdr:rowOff>9525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973DEAB7-5980-4DAD-BEF2-EC09B53A8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4910" y="2282190"/>
          <a:ext cx="152400" cy="188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390525</xdr:colOff>
      <xdr:row>4</xdr:row>
      <xdr:rowOff>76200</xdr:rowOff>
    </xdr:from>
    <xdr:to>
      <xdr:col>6</xdr:col>
      <xdr:colOff>542925</xdr:colOff>
      <xdr:row>5</xdr:row>
      <xdr:rowOff>28575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8C810F32-8F34-4848-98C9-FDC1D9012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4545" y="2301240"/>
          <a:ext cx="152400" cy="188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514350</xdr:colOff>
      <xdr:row>4</xdr:row>
      <xdr:rowOff>28575</xdr:rowOff>
    </xdr:from>
    <xdr:to>
      <xdr:col>7</xdr:col>
      <xdr:colOff>666750</xdr:colOff>
      <xdr:row>4</xdr:row>
      <xdr:rowOff>219075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7B689CA1-8629-46FA-9D0C-2E059EA5A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8490" y="2253615"/>
          <a:ext cx="152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613645</xdr:colOff>
      <xdr:row>1</xdr:row>
      <xdr:rowOff>1281308</xdr:rowOff>
    </xdr:from>
    <xdr:to>
      <xdr:col>1</xdr:col>
      <xdr:colOff>746995</xdr:colOff>
      <xdr:row>1</xdr:row>
      <xdr:rowOff>1471808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35BD475B-CB57-4BA3-BFF0-D0FE4C82C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0865" y="1471808"/>
          <a:ext cx="1333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800100</xdr:colOff>
      <xdr:row>1</xdr:row>
      <xdr:rowOff>1158398</xdr:rowOff>
    </xdr:from>
    <xdr:to>
      <xdr:col>2</xdr:col>
      <xdr:colOff>952500</xdr:colOff>
      <xdr:row>1</xdr:row>
      <xdr:rowOff>1358423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E32BCFBB-8134-4E3F-8288-09F49DEFC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1740" y="1348898"/>
          <a:ext cx="1524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846811</xdr:colOff>
      <xdr:row>1</xdr:row>
      <xdr:rowOff>1045924</xdr:rowOff>
    </xdr:from>
    <xdr:to>
      <xdr:col>4</xdr:col>
      <xdr:colOff>39796</xdr:colOff>
      <xdr:row>1</xdr:row>
      <xdr:rowOff>1236424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378CF953-DE35-4DB9-8AFD-EC7AEB83D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7151" y="1236424"/>
          <a:ext cx="14548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428625</xdr:colOff>
      <xdr:row>4</xdr:row>
      <xdr:rowOff>38100</xdr:rowOff>
    </xdr:from>
    <xdr:to>
      <xdr:col>3</xdr:col>
      <xdr:colOff>571500</xdr:colOff>
      <xdr:row>4</xdr:row>
      <xdr:rowOff>228600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7053C536-F6E6-486C-AC40-8E6829B5F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8965" y="2263140"/>
          <a:ext cx="1428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428625</xdr:colOff>
      <xdr:row>4</xdr:row>
      <xdr:rowOff>57150</xdr:rowOff>
    </xdr:from>
    <xdr:to>
      <xdr:col>4</xdr:col>
      <xdr:colOff>581025</xdr:colOff>
      <xdr:row>5</xdr:row>
      <xdr:rowOff>9525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9F3ADF3A-B0C3-40BC-8AB5-9FA0F4D1C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1465" y="2282190"/>
          <a:ext cx="152400" cy="188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361950</xdr:colOff>
      <xdr:row>4</xdr:row>
      <xdr:rowOff>57150</xdr:rowOff>
    </xdr:from>
    <xdr:to>
      <xdr:col>5</xdr:col>
      <xdr:colOff>514350</xdr:colOff>
      <xdr:row>5</xdr:row>
      <xdr:rowOff>9525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A7C1B16-76E4-48C7-A289-54F2AC307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4910" y="2282190"/>
          <a:ext cx="152400" cy="188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390525</xdr:colOff>
      <xdr:row>4</xdr:row>
      <xdr:rowOff>76200</xdr:rowOff>
    </xdr:from>
    <xdr:to>
      <xdr:col>6</xdr:col>
      <xdr:colOff>542925</xdr:colOff>
      <xdr:row>5</xdr:row>
      <xdr:rowOff>28575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E618DE72-BC6D-4E6E-83B2-28B729992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4545" y="2301240"/>
          <a:ext cx="152400" cy="188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514350</xdr:colOff>
      <xdr:row>4</xdr:row>
      <xdr:rowOff>28575</xdr:rowOff>
    </xdr:from>
    <xdr:to>
      <xdr:col>7</xdr:col>
      <xdr:colOff>666750</xdr:colOff>
      <xdr:row>4</xdr:row>
      <xdr:rowOff>219075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123C6C5E-4684-49F9-A0A4-8A1ED82B0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8490" y="2253615"/>
          <a:ext cx="152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613645</xdr:colOff>
      <xdr:row>1</xdr:row>
      <xdr:rowOff>1281308</xdr:rowOff>
    </xdr:from>
    <xdr:to>
      <xdr:col>1</xdr:col>
      <xdr:colOff>746995</xdr:colOff>
      <xdr:row>1</xdr:row>
      <xdr:rowOff>1471808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E4FAAFB-714F-418D-B2B8-B680C8E6C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965" y="1471808"/>
          <a:ext cx="1333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800100</xdr:colOff>
      <xdr:row>1</xdr:row>
      <xdr:rowOff>1158398</xdr:rowOff>
    </xdr:from>
    <xdr:to>
      <xdr:col>2</xdr:col>
      <xdr:colOff>952500</xdr:colOff>
      <xdr:row>1</xdr:row>
      <xdr:rowOff>1358423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99387DA-4A88-4416-9994-352D4D2FD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9840" y="1348898"/>
          <a:ext cx="1524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822193</xdr:colOff>
      <xdr:row>1</xdr:row>
      <xdr:rowOff>1050027</xdr:rowOff>
    </xdr:from>
    <xdr:to>
      <xdr:col>4</xdr:col>
      <xdr:colOff>19282</xdr:colOff>
      <xdr:row>1</xdr:row>
      <xdr:rowOff>1240527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4C9B59F-3D26-4576-A0A8-8752EB706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8839" y="1237596"/>
          <a:ext cx="146658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428625</xdr:colOff>
      <xdr:row>4</xdr:row>
      <xdr:rowOff>38100</xdr:rowOff>
    </xdr:from>
    <xdr:to>
      <xdr:col>3</xdr:col>
      <xdr:colOff>571500</xdr:colOff>
      <xdr:row>4</xdr:row>
      <xdr:rowOff>228600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982EED6-C91C-4364-A6EF-15586A447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7065" y="2263140"/>
          <a:ext cx="1428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428625</xdr:colOff>
      <xdr:row>4</xdr:row>
      <xdr:rowOff>57150</xdr:rowOff>
    </xdr:from>
    <xdr:to>
      <xdr:col>4</xdr:col>
      <xdr:colOff>581025</xdr:colOff>
      <xdr:row>5</xdr:row>
      <xdr:rowOff>9525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C8D9518F-F84F-4A27-875F-14043BD32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9565" y="2282190"/>
          <a:ext cx="152400" cy="188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361950</xdr:colOff>
      <xdr:row>4</xdr:row>
      <xdr:rowOff>57150</xdr:rowOff>
    </xdr:from>
    <xdr:to>
      <xdr:col>5</xdr:col>
      <xdr:colOff>514350</xdr:colOff>
      <xdr:row>5</xdr:row>
      <xdr:rowOff>9525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75F315BC-873B-43BC-BBB3-BE3A3F782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3010" y="2282190"/>
          <a:ext cx="152400" cy="188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390525</xdr:colOff>
      <xdr:row>4</xdr:row>
      <xdr:rowOff>76200</xdr:rowOff>
    </xdr:from>
    <xdr:to>
      <xdr:col>6</xdr:col>
      <xdr:colOff>542925</xdr:colOff>
      <xdr:row>5</xdr:row>
      <xdr:rowOff>28575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CA4F5D-0FDC-4D7E-A262-704A242B9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2645" y="2301240"/>
          <a:ext cx="152400" cy="188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514350</xdr:colOff>
      <xdr:row>4</xdr:row>
      <xdr:rowOff>28575</xdr:rowOff>
    </xdr:from>
    <xdr:to>
      <xdr:col>7</xdr:col>
      <xdr:colOff>666750</xdr:colOff>
      <xdr:row>4</xdr:row>
      <xdr:rowOff>219075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B4DB3CC5-E8EC-4E27-A0F8-1392795E3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6590" y="2253615"/>
          <a:ext cx="152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zoomScale="85" zoomScaleNormal="85" workbookViewId="0">
      <selection activeCell="A7" sqref="A7:H7"/>
    </sheetView>
  </sheetViews>
  <sheetFormatPr defaultRowHeight="15" x14ac:dyDescent="0.25"/>
  <cols>
    <col min="2" max="2" width="12.7109375" customWidth="1"/>
    <col min="3" max="3" width="14.140625" customWidth="1"/>
    <col min="4" max="4" width="13.5703125" customWidth="1"/>
    <col min="5" max="5" width="15.7109375" customWidth="1"/>
    <col min="6" max="6" width="14.42578125" customWidth="1"/>
    <col min="7" max="7" width="12.7109375" customWidth="1"/>
    <col min="8" max="8" width="16.42578125" customWidth="1"/>
    <col min="10" max="10" width="15" customWidth="1"/>
    <col min="14" max="14" width="9.140625" customWidth="1"/>
  </cols>
  <sheetData>
    <row r="1" spans="1:14" ht="15.75" thickBot="1" x14ac:dyDescent="0.3">
      <c r="A1" s="1" t="s">
        <v>0</v>
      </c>
      <c r="C1" s="1" t="s">
        <v>51</v>
      </c>
      <c r="F1" t="s">
        <v>38</v>
      </c>
    </row>
    <row r="2" spans="1:14" ht="75" customHeight="1" x14ac:dyDescent="0.25">
      <c r="A2" s="41" t="s">
        <v>9</v>
      </c>
      <c r="B2" s="41" t="s">
        <v>10</v>
      </c>
      <c r="C2" s="41" t="s">
        <v>11</v>
      </c>
      <c r="D2" s="46" t="s">
        <v>1</v>
      </c>
      <c r="E2" s="47"/>
      <c r="F2" s="47"/>
      <c r="G2" s="47"/>
      <c r="H2" s="48"/>
    </row>
    <row r="3" spans="1:14" x14ac:dyDescent="0.25">
      <c r="A3" s="42"/>
      <c r="B3" s="42"/>
      <c r="C3" s="42"/>
      <c r="D3" s="49"/>
      <c r="E3" s="50"/>
      <c r="F3" s="50"/>
      <c r="G3" s="50"/>
      <c r="H3" s="51"/>
    </row>
    <row r="4" spans="1:14" ht="15.75" thickBot="1" x14ac:dyDescent="0.3">
      <c r="A4" s="43"/>
      <c r="B4" s="43"/>
      <c r="C4" s="43"/>
      <c r="D4" s="52"/>
      <c r="E4" s="53"/>
      <c r="F4" s="53"/>
      <c r="G4" s="53"/>
      <c r="H4" s="54"/>
    </row>
    <row r="5" spans="1:14" x14ac:dyDescent="0.25">
      <c r="A5" s="41"/>
      <c r="B5" s="55"/>
      <c r="C5" s="41"/>
      <c r="D5" s="41" t="s">
        <v>2</v>
      </c>
      <c r="E5" s="41" t="s">
        <v>3</v>
      </c>
      <c r="F5" s="41" t="s">
        <v>4</v>
      </c>
      <c r="G5" s="41" t="s">
        <v>5</v>
      </c>
      <c r="H5" s="41" t="s">
        <v>6</v>
      </c>
    </row>
    <row r="6" spans="1:14" ht="15.75" thickBot="1" x14ac:dyDescent="0.3">
      <c r="A6" s="43"/>
      <c r="B6" s="56"/>
      <c r="C6" s="43"/>
      <c r="D6" s="43"/>
      <c r="E6" s="43"/>
      <c r="F6" s="43"/>
      <c r="G6" s="43"/>
      <c r="H6" s="43"/>
    </row>
    <row r="7" spans="1:14" ht="19.5" thickBot="1" x14ac:dyDescent="0.3">
      <c r="A7" s="3" t="s">
        <v>50</v>
      </c>
      <c r="B7" s="4">
        <v>8</v>
      </c>
      <c r="C7" s="5">
        <v>5</v>
      </c>
      <c r="D7" s="5">
        <v>1</v>
      </c>
      <c r="E7" s="5">
        <v>1</v>
      </c>
      <c r="F7" s="5">
        <v>2</v>
      </c>
      <c r="G7" s="4">
        <v>0</v>
      </c>
      <c r="H7" s="4">
        <v>0</v>
      </c>
    </row>
    <row r="9" spans="1:14" x14ac:dyDescent="0.25">
      <c r="A9" s="6"/>
      <c r="B9" s="6"/>
      <c r="C9" s="6"/>
      <c r="D9" s="6"/>
      <c r="E9" s="7" t="s">
        <v>17</v>
      </c>
      <c r="F9" s="7" t="s">
        <v>18</v>
      </c>
      <c r="G9" s="7" t="s">
        <v>19</v>
      </c>
      <c r="H9" s="7" t="s">
        <v>20</v>
      </c>
    </row>
    <row r="10" spans="1:14" x14ac:dyDescent="0.25">
      <c r="A10" s="6"/>
      <c r="B10" s="6"/>
      <c r="C10" s="6"/>
      <c r="D10" s="6"/>
      <c r="E10" s="6">
        <v>1</v>
      </c>
      <c r="F10" s="6">
        <v>1</v>
      </c>
      <c r="G10" s="6">
        <v>1</v>
      </c>
      <c r="H10" s="6">
        <v>1</v>
      </c>
    </row>
    <row r="11" spans="1:14" x14ac:dyDescent="0.25">
      <c r="A11" s="6"/>
      <c r="B11" s="6"/>
      <c r="C11" s="6"/>
      <c r="D11" s="7" t="s">
        <v>12</v>
      </c>
      <c r="E11" s="7" t="s">
        <v>13</v>
      </c>
      <c r="F11" s="7" t="s">
        <v>14</v>
      </c>
      <c r="G11" s="7" t="s">
        <v>15</v>
      </c>
      <c r="H11" s="7" t="s">
        <v>16</v>
      </c>
    </row>
    <row r="12" spans="1:14" x14ac:dyDescent="0.25">
      <c r="A12" s="6"/>
      <c r="B12" s="6"/>
      <c r="C12" s="6"/>
      <c r="D12" s="6">
        <v>1</v>
      </c>
      <c r="E12" s="6">
        <f>$D$12*(E7/$D$7)*E10</f>
        <v>1</v>
      </c>
      <c r="F12" s="6">
        <f>$D$12*(F7/$D$7)*F10</f>
        <v>2</v>
      </c>
      <c r="G12" s="6">
        <f t="shared" ref="G12:H12" si="0">$D$12*(G7/$D$7)*G10</f>
        <v>0</v>
      </c>
      <c r="H12" s="6">
        <f t="shared" si="0"/>
        <v>0</v>
      </c>
    </row>
    <row r="13" spans="1:14" x14ac:dyDescent="0.25">
      <c r="A13" s="6"/>
      <c r="B13" s="6"/>
      <c r="C13" s="6"/>
      <c r="D13" s="6"/>
      <c r="E13" s="6"/>
      <c r="F13" s="6"/>
      <c r="G13" s="6"/>
      <c r="H13" s="6"/>
    </row>
    <row r="14" spans="1:14" ht="18.75" x14ac:dyDescent="0.3">
      <c r="B14" s="6"/>
      <c r="C14" s="2" t="s">
        <v>21</v>
      </c>
      <c r="D14" s="6"/>
      <c r="E14" s="6"/>
      <c r="F14" s="6"/>
      <c r="G14" s="6"/>
      <c r="H14" s="6"/>
      <c r="J14" s="65" t="s">
        <v>33</v>
      </c>
      <c r="K14" s="65"/>
      <c r="L14" s="65"/>
      <c r="M14" s="65"/>
      <c r="N14" s="65"/>
    </row>
    <row r="15" spans="1:14" ht="15.75" thickBot="1" x14ac:dyDescent="0.3">
      <c r="C15" s="7" t="s">
        <v>22</v>
      </c>
      <c r="D15" s="7">
        <v>1</v>
      </c>
      <c r="E15" s="7">
        <f>D15+1</f>
        <v>2</v>
      </c>
      <c r="F15" s="7">
        <f t="shared" ref="F15:H15" si="1">E15+1</f>
        <v>3</v>
      </c>
      <c r="G15" s="7">
        <f t="shared" si="1"/>
        <v>4</v>
      </c>
      <c r="H15" s="7">
        <f t="shared" si="1"/>
        <v>5</v>
      </c>
      <c r="J15" s="66">
        <v>1</v>
      </c>
      <c r="K15" s="66">
        <v>2</v>
      </c>
      <c r="L15" s="66">
        <v>3</v>
      </c>
      <c r="M15" s="66">
        <v>4</v>
      </c>
      <c r="N15" s="66">
        <v>5</v>
      </c>
    </row>
    <row r="16" spans="1:14" ht="15.75" thickBot="1" x14ac:dyDescent="0.3">
      <c r="C16" s="7">
        <v>0</v>
      </c>
      <c r="D16" s="26">
        <v>1</v>
      </c>
      <c r="E16" s="27">
        <f>D16</f>
        <v>1</v>
      </c>
      <c r="F16" s="27">
        <f t="shared" ref="F16:H16" si="2">E16</f>
        <v>1</v>
      </c>
      <c r="G16" s="27">
        <f t="shared" si="2"/>
        <v>1</v>
      </c>
      <c r="H16" s="28">
        <f t="shared" si="2"/>
        <v>1</v>
      </c>
      <c r="J16" s="67"/>
      <c r="K16" s="67"/>
      <c r="L16" s="67"/>
      <c r="M16" s="67"/>
      <c r="N16" s="67"/>
    </row>
    <row r="17" spans="1:14" x14ac:dyDescent="0.25">
      <c r="C17" s="7">
        <v>1</v>
      </c>
      <c r="D17" s="29">
        <v>1</v>
      </c>
      <c r="E17" s="6">
        <f>D17+E16*E$12</f>
        <v>2</v>
      </c>
      <c r="F17" s="6">
        <f t="shared" ref="F17:H31" si="3">E17+F16*F$12</f>
        <v>4</v>
      </c>
      <c r="G17" s="6">
        <f>F17+G16*G$12</f>
        <v>4</v>
      </c>
      <c r="H17" s="30">
        <f t="shared" si="3"/>
        <v>4</v>
      </c>
      <c r="J17" s="68">
        <f ca="1">(D$12^$C17)*INDIRECT(ADDRESS(16+$B$7-$C17,8))</f>
        <v>502</v>
      </c>
      <c r="K17" s="69">
        <f t="shared" ref="K17:N17" ca="1" si="4">(E$12^$C17)*INDIRECT(ADDRESS(16+$B$7-$C17,8))</f>
        <v>502</v>
      </c>
      <c r="L17" s="69">
        <f t="shared" ca="1" si="4"/>
        <v>1004</v>
      </c>
      <c r="M17" s="69">
        <f t="shared" ca="1" si="4"/>
        <v>0</v>
      </c>
      <c r="N17" s="70">
        <f t="shared" ca="1" si="4"/>
        <v>0</v>
      </c>
    </row>
    <row r="18" spans="1:14" x14ac:dyDescent="0.25">
      <c r="C18" s="7">
        <f>C17+1</f>
        <v>2</v>
      </c>
      <c r="D18" s="29">
        <f>D16</f>
        <v>1</v>
      </c>
      <c r="E18" s="6">
        <f t="shared" ref="E18:E31" si="5">D18+E17*E$12</f>
        <v>3</v>
      </c>
      <c r="F18" s="6">
        <f t="shared" si="3"/>
        <v>11</v>
      </c>
      <c r="G18" s="6">
        <f t="shared" ref="G18:G31" si="6">F18+G17*G$12</f>
        <v>11</v>
      </c>
      <c r="H18" s="30">
        <f t="shared" si="3"/>
        <v>11</v>
      </c>
      <c r="J18" s="71">
        <f t="shared" ref="J18:J31" ca="1" si="7">(D$12^$C18)*INDIRECT(ADDRESS(16+$B$7-$C18,8))</f>
        <v>247</v>
      </c>
      <c r="K18" s="72">
        <f t="shared" ref="K18:K31" ca="1" si="8">(E$12^$C18)*INDIRECT(ADDRESS(16+$B$7-$C18,8))</f>
        <v>247</v>
      </c>
      <c r="L18" s="72">
        <f t="shared" ref="L18:L31" ca="1" si="9">(F$12^$C18)*INDIRECT(ADDRESS(16+$B$7-$C18,8))</f>
        <v>988</v>
      </c>
      <c r="M18" s="72">
        <f t="shared" ref="M18:M31" ca="1" si="10">(G$12^$C18)*INDIRECT(ADDRESS(16+$B$7-$C18,8))</f>
        <v>0</v>
      </c>
      <c r="N18" s="73">
        <f t="shared" ref="N18:N31" ca="1" si="11">(H$12^$C18)*INDIRECT(ADDRESS(16+$B$7-$C18,8))</f>
        <v>0</v>
      </c>
    </row>
    <row r="19" spans="1:14" x14ac:dyDescent="0.25">
      <c r="C19" s="7">
        <f t="shared" ref="C19:C31" si="12">C18+1</f>
        <v>3</v>
      </c>
      <c r="D19" s="29">
        <f t="shared" ref="D19:D31" si="13">D18</f>
        <v>1</v>
      </c>
      <c r="E19" s="6">
        <f t="shared" si="5"/>
        <v>4</v>
      </c>
      <c r="F19" s="6">
        <f t="shared" si="3"/>
        <v>26</v>
      </c>
      <c r="G19" s="6">
        <f t="shared" si="6"/>
        <v>26</v>
      </c>
      <c r="H19" s="30">
        <f t="shared" si="3"/>
        <v>26</v>
      </c>
      <c r="J19" s="71">
        <f t="shared" ca="1" si="7"/>
        <v>120</v>
      </c>
      <c r="K19" s="72">
        <f t="shared" ca="1" si="8"/>
        <v>120</v>
      </c>
      <c r="L19" s="72">
        <f t="shared" ca="1" si="9"/>
        <v>960</v>
      </c>
      <c r="M19" s="72">
        <f t="shared" ca="1" si="10"/>
        <v>0</v>
      </c>
      <c r="N19" s="73">
        <f t="shared" ca="1" si="11"/>
        <v>0</v>
      </c>
    </row>
    <row r="20" spans="1:14" x14ac:dyDescent="0.25">
      <c r="C20" s="7">
        <f t="shared" si="12"/>
        <v>4</v>
      </c>
      <c r="D20" s="29">
        <f t="shared" si="13"/>
        <v>1</v>
      </c>
      <c r="E20" s="6">
        <f t="shared" si="5"/>
        <v>5</v>
      </c>
      <c r="F20" s="6">
        <f t="shared" si="3"/>
        <v>57</v>
      </c>
      <c r="G20" s="6">
        <f t="shared" si="6"/>
        <v>57</v>
      </c>
      <c r="H20" s="30">
        <f t="shared" si="3"/>
        <v>57</v>
      </c>
      <c r="J20" s="71">
        <f t="shared" ca="1" si="7"/>
        <v>57</v>
      </c>
      <c r="K20" s="72">
        <f t="shared" ca="1" si="8"/>
        <v>57</v>
      </c>
      <c r="L20" s="72">
        <f t="shared" ca="1" si="9"/>
        <v>912</v>
      </c>
      <c r="M20" s="72">
        <f t="shared" ca="1" si="10"/>
        <v>0</v>
      </c>
      <c r="N20" s="73">
        <f t="shared" ca="1" si="11"/>
        <v>0</v>
      </c>
    </row>
    <row r="21" spans="1:14" x14ac:dyDescent="0.25">
      <c r="C21" s="7">
        <f t="shared" si="12"/>
        <v>5</v>
      </c>
      <c r="D21" s="29">
        <f t="shared" si="13"/>
        <v>1</v>
      </c>
      <c r="E21" s="6">
        <f t="shared" si="5"/>
        <v>6</v>
      </c>
      <c r="F21" s="6">
        <f t="shared" si="3"/>
        <v>120</v>
      </c>
      <c r="G21" s="6">
        <f t="shared" si="6"/>
        <v>120</v>
      </c>
      <c r="H21" s="30">
        <f t="shared" si="3"/>
        <v>120</v>
      </c>
      <c r="J21" s="71">
        <f t="shared" ca="1" si="7"/>
        <v>26</v>
      </c>
      <c r="K21" s="72">
        <f t="shared" ca="1" si="8"/>
        <v>26</v>
      </c>
      <c r="L21" s="72">
        <f t="shared" ca="1" si="9"/>
        <v>832</v>
      </c>
      <c r="M21" s="72">
        <f t="shared" ca="1" si="10"/>
        <v>0</v>
      </c>
      <c r="N21" s="73">
        <f t="shared" ca="1" si="11"/>
        <v>0</v>
      </c>
    </row>
    <row r="22" spans="1:14" x14ac:dyDescent="0.25">
      <c r="C22" s="7">
        <f t="shared" si="12"/>
        <v>6</v>
      </c>
      <c r="D22" s="29">
        <f t="shared" si="13"/>
        <v>1</v>
      </c>
      <c r="E22" s="6">
        <f t="shared" si="5"/>
        <v>7</v>
      </c>
      <c r="F22" s="6">
        <f t="shared" si="3"/>
        <v>247</v>
      </c>
      <c r="G22" s="6">
        <f t="shared" si="6"/>
        <v>247</v>
      </c>
      <c r="H22" s="30">
        <f>G22+H21*H$12</f>
        <v>247</v>
      </c>
      <c r="J22" s="71">
        <f t="shared" ca="1" si="7"/>
        <v>11</v>
      </c>
      <c r="K22" s="72">
        <f t="shared" ca="1" si="8"/>
        <v>11</v>
      </c>
      <c r="L22" s="72">
        <f t="shared" ca="1" si="9"/>
        <v>704</v>
      </c>
      <c r="M22" s="72">
        <f t="shared" ca="1" si="10"/>
        <v>0</v>
      </c>
      <c r="N22" s="73">
        <f t="shared" ca="1" si="11"/>
        <v>0</v>
      </c>
    </row>
    <row r="23" spans="1:14" ht="15.75" thickBot="1" x14ac:dyDescent="0.3">
      <c r="C23" s="7">
        <f t="shared" si="12"/>
        <v>7</v>
      </c>
      <c r="D23" s="31">
        <f t="shared" si="13"/>
        <v>1</v>
      </c>
      <c r="E23" s="32">
        <f t="shared" si="5"/>
        <v>8</v>
      </c>
      <c r="F23" s="32">
        <f t="shared" si="3"/>
        <v>502</v>
      </c>
      <c r="G23" s="32">
        <f t="shared" si="6"/>
        <v>502</v>
      </c>
      <c r="H23" s="33">
        <f t="shared" si="3"/>
        <v>502</v>
      </c>
      <c r="J23" s="74">
        <f t="shared" ca="1" si="7"/>
        <v>4</v>
      </c>
      <c r="K23" s="75">
        <f t="shared" ca="1" si="8"/>
        <v>4</v>
      </c>
      <c r="L23" s="75">
        <f t="shared" ca="1" si="9"/>
        <v>512</v>
      </c>
      <c r="M23" s="75">
        <f t="shared" ca="1" si="10"/>
        <v>0</v>
      </c>
      <c r="N23" s="76">
        <f t="shared" ca="1" si="11"/>
        <v>0</v>
      </c>
    </row>
    <row r="24" spans="1:14" x14ac:dyDescent="0.25">
      <c r="A24" s="44" t="s">
        <v>32</v>
      </c>
      <c r="B24" s="44"/>
      <c r="C24" s="7">
        <f t="shared" si="12"/>
        <v>8</v>
      </c>
      <c r="D24" s="13">
        <f t="shared" si="13"/>
        <v>1</v>
      </c>
      <c r="E24" s="6">
        <f t="shared" si="5"/>
        <v>9</v>
      </c>
      <c r="F24" s="6">
        <f t="shared" si="3"/>
        <v>1013</v>
      </c>
      <c r="G24" s="6">
        <f t="shared" si="6"/>
        <v>1013</v>
      </c>
      <c r="H24" s="14">
        <f t="shared" si="3"/>
        <v>1013</v>
      </c>
      <c r="J24" s="77">
        <f t="shared" ca="1" si="7"/>
        <v>1</v>
      </c>
      <c r="K24" s="72">
        <f t="shared" ca="1" si="8"/>
        <v>1</v>
      </c>
      <c r="L24" s="72">
        <f t="shared" ca="1" si="9"/>
        <v>256</v>
      </c>
      <c r="M24" s="72">
        <f t="shared" ca="1" si="10"/>
        <v>0</v>
      </c>
      <c r="N24" s="78">
        <f t="shared" ca="1" si="11"/>
        <v>0</v>
      </c>
    </row>
    <row r="25" spans="1:14" x14ac:dyDescent="0.25">
      <c r="A25" s="44"/>
      <c r="B25" s="44"/>
      <c r="C25" s="7">
        <f t="shared" si="12"/>
        <v>9</v>
      </c>
      <c r="D25" s="13">
        <f t="shared" si="13"/>
        <v>1</v>
      </c>
      <c r="E25" s="6">
        <f t="shared" si="5"/>
        <v>10</v>
      </c>
      <c r="F25" s="6">
        <f t="shared" si="3"/>
        <v>2036</v>
      </c>
      <c r="G25" s="6">
        <f t="shared" si="6"/>
        <v>2036</v>
      </c>
      <c r="H25" s="14">
        <f t="shared" si="3"/>
        <v>2036</v>
      </c>
      <c r="J25" s="77">
        <f t="shared" ca="1" si="7"/>
        <v>5</v>
      </c>
      <c r="K25" s="72">
        <f t="shared" ca="1" si="8"/>
        <v>5</v>
      </c>
      <c r="L25" s="72">
        <f t="shared" ca="1" si="9"/>
        <v>2560</v>
      </c>
      <c r="M25" s="72">
        <f t="shared" ca="1" si="10"/>
        <v>0</v>
      </c>
      <c r="N25" s="78">
        <f t="shared" ca="1" si="11"/>
        <v>0</v>
      </c>
    </row>
    <row r="26" spans="1:14" ht="15" customHeight="1" x14ac:dyDescent="0.25">
      <c r="A26" s="44"/>
      <c r="B26" s="44"/>
      <c r="C26" s="9">
        <f t="shared" si="12"/>
        <v>10</v>
      </c>
      <c r="D26" s="15">
        <f t="shared" si="13"/>
        <v>1</v>
      </c>
      <c r="E26" s="16">
        <f t="shared" si="5"/>
        <v>11</v>
      </c>
      <c r="F26" s="16">
        <f t="shared" si="3"/>
        <v>4083</v>
      </c>
      <c r="G26" s="16">
        <f t="shared" si="6"/>
        <v>4083</v>
      </c>
      <c r="H26" s="17">
        <f>G26+H25*H$12</f>
        <v>4083</v>
      </c>
      <c r="J26" s="79">
        <f t="shared" ca="1" si="7"/>
        <v>0</v>
      </c>
      <c r="K26" s="80">
        <f t="shared" ca="1" si="8"/>
        <v>0</v>
      </c>
      <c r="L26" s="80">
        <f t="shared" ca="1" si="9"/>
        <v>0</v>
      </c>
      <c r="M26" s="80">
        <f t="shared" ca="1" si="10"/>
        <v>0</v>
      </c>
      <c r="N26" s="81">
        <f t="shared" ca="1" si="11"/>
        <v>0</v>
      </c>
    </row>
    <row r="27" spans="1:14" x14ac:dyDescent="0.25">
      <c r="C27" s="8">
        <f t="shared" si="12"/>
        <v>11</v>
      </c>
      <c r="D27" s="6">
        <f t="shared" si="13"/>
        <v>1</v>
      </c>
      <c r="E27" s="6">
        <f t="shared" si="5"/>
        <v>12</v>
      </c>
      <c r="F27" s="6">
        <f t="shared" si="3"/>
        <v>8178</v>
      </c>
      <c r="G27" s="6">
        <f t="shared" si="6"/>
        <v>8178</v>
      </c>
      <c r="H27" s="6">
        <f t="shared" si="3"/>
        <v>8178</v>
      </c>
      <c r="J27" s="72">
        <f t="shared" ca="1" si="7"/>
        <v>0</v>
      </c>
      <c r="K27" s="72">
        <f t="shared" ca="1" si="8"/>
        <v>0</v>
      </c>
      <c r="L27" s="72">
        <f t="shared" ca="1" si="9"/>
        <v>0</v>
      </c>
      <c r="M27" s="72">
        <f t="shared" ca="1" si="10"/>
        <v>0</v>
      </c>
      <c r="N27" s="72">
        <f t="shared" ca="1" si="11"/>
        <v>0</v>
      </c>
    </row>
    <row r="28" spans="1:14" x14ac:dyDescent="0.25">
      <c r="C28" s="8">
        <f t="shared" si="12"/>
        <v>12</v>
      </c>
      <c r="D28" s="6">
        <f t="shared" si="13"/>
        <v>1</v>
      </c>
      <c r="E28" s="6">
        <f t="shared" si="5"/>
        <v>13</v>
      </c>
      <c r="F28" s="6">
        <f t="shared" si="3"/>
        <v>16369</v>
      </c>
      <c r="G28" s="6">
        <f t="shared" si="6"/>
        <v>16369</v>
      </c>
      <c r="H28" s="6">
        <f t="shared" si="3"/>
        <v>16369</v>
      </c>
      <c r="J28" s="72">
        <f t="shared" ca="1" si="7"/>
        <v>0</v>
      </c>
      <c r="K28" s="72">
        <f t="shared" ca="1" si="8"/>
        <v>0</v>
      </c>
      <c r="L28" s="72">
        <f t="shared" ca="1" si="9"/>
        <v>0</v>
      </c>
      <c r="M28" s="72">
        <f t="shared" ca="1" si="10"/>
        <v>0</v>
      </c>
      <c r="N28" s="72">
        <f t="shared" ca="1" si="11"/>
        <v>0</v>
      </c>
    </row>
    <row r="29" spans="1:14" x14ac:dyDescent="0.25">
      <c r="C29" s="8">
        <f t="shared" si="12"/>
        <v>13</v>
      </c>
      <c r="D29" s="6">
        <f t="shared" si="13"/>
        <v>1</v>
      </c>
      <c r="E29" s="6">
        <f t="shared" si="5"/>
        <v>14</v>
      </c>
      <c r="F29" s="6">
        <f t="shared" si="3"/>
        <v>32752</v>
      </c>
      <c r="G29" s="6">
        <f t="shared" si="6"/>
        <v>32752</v>
      </c>
      <c r="H29" s="6">
        <f t="shared" si="3"/>
        <v>32752</v>
      </c>
      <c r="J29" s="72" t="e">
        <f t="shared" ca="1" si="7"/>
        <v>#VALUE!</v>
      </c>
      <c r="K29" s="72" t="e">
        <f t="shared" ca="1" si="8"/>
        <v>#VALUE!</v>
      </c>
      <c r="L29" s="72" t="e">
        <f t="shared" ca="1" si="9"/>
        <v>#VALUE!</v>
      </c>
      <c r="M29" s="72" t="e">
        <f t="shared" ca="1" si="10"/>
        <v>#VALUE!</v>
      </c>
      <c r="N29" s="72" t="e">
        <f t="shared" ca="1" si="11"/>
        <v>#VALUE!</v>
      </c>
    </row>
    <row r="30" spans="1:14" x14ac:dyDescent="0.25">
      <c r="C30" s="8">
        <f t="shared" si="12"/>
        <v>14</v>
      </c>
      <c r="D30" s="6">
        <f t="shared" si="13"/>
        <v>1</v>
      </c>
      <c r="E30" s="6">
        <f t="shared" si="5"/>
        <v>15</v>
      </c>
      <c r="F30" s="6">
        <f t="shared" si="3"/>
        <v>65519</v>
      </c>
      <c r="G30" s="6">
        <f t="shared" si="6"/>
        <v>65519</v>
      </c>
      <c r="H30" s="6">
        <f t="shared" si="3"/>
        <v>65519</v>
      </c>
      <c r="J30" s="72">
        <f t="shared" ca="1" si="7"/>
        <v>1</v>
      </c>
      <c r="K30" s="72">
        <f t="shared" ca="1" si="8"/>
        <v>1</v>
      </c>
      <c r="L30" s="72">
        <f t="shared" ca="1" si="9"/>
        <v>16384</v>
      </c>
      <c r="M30" s="72">
        <f t="shared" ca="1" si="10"/>
        <v>0</v>
      </c>
      <c r="N30" s="72">
        <f t="shared" ca="1" si="11"/>
        <v>0</v>
      </c>
    </row>
    <row r="31" spans="1:14" x14ac:dyDescent="0.25">
      <c r="C31" s="8">
        <f t="shared" si="12"/>
        <v>15</v>
      </c>
      <c r="D31" s="6">
        <f t="shared" si="13"/>
        <v>1</v>
      </c>
      <c r="E31" s="6">
        <f t="shared" si="5"/>
        <v>16</v>
      </c>
      <c r="F31" s="6">
        <f t="shared" si="3"/>
        <v>131054</v>
      </c>
      <c r="G31" s="6">
        <f t="shared" si="6"/>
        <v>131054</v>
      </c>
      <c r="H31" s="6">
        <f t="shared" si="3"/>
        <v>131054</v>
      </c>
      <c r="J31" s="72" t="e">
        <f t="shared" ca="1" si="7"/>
        <v>#VALUE!</v>
      </c>
      <c r="K31" s="72" t="e">
        <f t="shared" ca="1" si="8"/>
        <v>#VALUE!</v>
      </c>
      <c r="L31" s="72" t="e">
        <f t="shared" ca="1" si="9"/>
        <v>#VALUE!</v>
      </c>
      <c r="M31" s="72" t="e">
        <f t="shared" ca="1" si="10"/>
        <v>#VALUE!</v>
      </c>
      <c r="N31" s="72" t="e">
        <f t="shared" ca="1" si="11"/>
        <v>#VALUE!</v>
      </c>
    </row>
    <row r="33" spans="3:11" x14ac:dyDescent="0.25">
      <c r="D33" s="7" t="s">
        <v>23</v>
      </c>
      <c r="E33" s="7" t="s">
        <v>24</v>
      </c>
      <c r="F33" s="7" t="s">
        <v>25</v>
      </c>
      <c r="G33" s="7" t="s">
        <v>26</v>
      </c>
      <c r="H33" s="7" t="s">
        <v>27</v>
      </c>
    </row>
    <row r="34" spans="3:11" x14ac:dyDescent="0.25">
      <c r="D34" s="18">
        <f ca="1">INDIRECT(ADDRESS(15+$B$7,8))/INDIRECT(ADDRESS(16+$B$7,8))</f>
        <v>0.49555774925962487</v>
      </c>
      <c r="E34" s="18">
        <f ca="1">$D$34*E12</f>
        <v>0.49555774925962487</v>
      </c>
      <c r="F34" s="18">
        <f t="shared" ref="F34:H34" ca="1" si="14">$D$34*F12</f>
        <v>0.99111549851924974</v>
      </c>
      <c r="G34" s="18">
        <f t="shared" ca="1" si="14"/>
        <v>0</v>
      </c>
      <c r="H34" s="18">
        <f t="shared" ca="1" si="14"/>
        <v>0</v>
      </c>
    </row>
    <row r="36" spans="3:11" x14ac:dyDescent="0.25">
      <c r="C36" s="6"/>
      <c r="D36" s="7">
        <v>1</v>
      </c>
      <c r="E36" s="7">
        <f>D36+1</f>
        <v>2</v>
      </c>
      <c r="F36" s="7">
        <f t="shared" ref="F36:H36" si="15">E36+1</f>
        <v>3</v>
      </c>
      <c r="G36" s="7">
        <f t="shared" si="15"/>
        <v>4</v>
      </c>
      <c r="H36" s="7">
        <f t="shared" si="15"/>
        <v>5</v>
      </c>
      <c r="I36" s="45" t="s">
        <v>34</v>
      </c>
      <c r="J36" s="45"/>
      <c r="K36" s="45"/>
    </row>
    <row r="37" spans="3:11" x14ac:dyDescent="0.25">
      <c r="C37" s="7" t="s">
        <v>28</v>
      </c>
      <c r="D37" s="19">
        <f ca="1">SUM(J17:INDIRECT(ADDRESS(16+$B$7,9+D$36)))/INDIRECT(ADDRESS(16+$B$7,8))</f>
        <v>0.9555774925962488</v>
      </c>
      <c r="E37" s="19">
        <f ca="1">SUM(K17:INDIRECT(ADDRESS(16+$B$7,9+E$36)))/INDIRECT(ADDRESS(16+$B$7,8))</f>
        <v>0.9555774925962488</v>
      </c>
      <c r="F37" s="19">
        <f ca="1">SUM(L17:INDIRECT(ADDRESS(16+$B$7,9+F$36)))/INDIRECT(ADDRESS(16+$B$7,8))</f>
        <v>6.0888450148075028</v>
      </c>
      <c r="G37" s="19">
        <f ca="1">SUM(M17:INDIRECT(ADDRESS(16+$B$7,9+G$36)))/INDIRECT(ADDRESS(16+$B$7,8))</f>
        <v>0</v>
      </c>
      <c r="H37" s="19">
        <f ca="1">SUM(N17:INDIRECT(ADDRESS(16+$B$7,9+H$36)))/INDIRECT(ADDRESS(16+$B$7,8))</f>
        <v>0</v>
      </c>
      <c r="I37" s="19">
        <f ca="1">SUM(D37:H37)</f>
        <v>8</v>
      </c>
      <c r="J37" s="20" t="s">
        <v>35</v>
      </c>
      <c r="K37" s="6">
        <f>B7</f>
        <v>8</v>
      </c>
    </row>
    <row r="38" spans="3:11" x14ac:dyDescent="0.25">
      <c r="C38" s="7" t="s">
        <v>29</v>
      </c>
      <c r="D38" s="19">
        <f ca="1">D37-D34</f>
        <v>0.46001974333662393</v>
      </c>
      <c r="E38" s="19">
        <f t="shared" ref="E38:H38" ca="1" si="16">E37-E34</f>
        <v>0.46001974333662393</v>
      </c>
      <c r="F38" s="19">
        <f t="shared" ca="1" si="16"/>
        <v>5.0977295162882532</v>
      </c>
      <c r="G38" s="19">
        <f t="shared" ca="1" si="16"/>
        <v>0</v>
      </c>
      <c r="H38" s="19">
        <f t="shared" ca="1" si="16"/>
        <v>0</v>
      </c>
      <c r="I38" s="6"/>
      <c r="J38" s="6"/>
      <c r="K38" s="6"/>
    </row>
    <row r="39" spans="3:11" x14ac:dyDescent="0.25">
      <c r="C39" s="7" t="s">
        <v>30</v>
      </c>
      <c r="D39" s="19">
        <f ca="1">$D$43*D37/$B$7</f>
        <v>1.9282868525896415</v>
      </c>
      <c r="E39" s="19">
        <f t="shared" ref="E39:H39" ca="1" si="17">$D$43*E37/$B$7</f>
        <v>1.9282868525896415</v>
      </c>
      <c r="F39" s="19">
        <f t="shared" ca="1" si="17"/>
        <v>12.286852589641436</v>
      </c>
      <c r="G39" s="19">
        <f t="shared" ca="1" si="17"/>
        <v>0</v>
      </c>
      <c r="H39" s="19">
        <f t="shared" ca="1" si="17"/>
        <v>0</v>
      </c>
      <c r="I39" s="19">
        <f ca="1">SUM(D39:H39)</f>
        <v>16.143426294820721</v>
      </c>
      <c r="J39" s="20" t="s">
        <v>35</v>
      </c>
      <c r="K39" s="19">
        <f ca="1">$D$43</f>
        <v>16.143426294820717</v>
      </c>
    </row>
    <row r="40" spans="3:11" x14ac:dyDescent="0.25">
      <c r="C40" s="7" t="s">
        <v>31</v>
      </c>
      <c r="D40" s="19">
        <f ca="1">D39-D7</f>
        <v>0.9282868525896415</v>
      </c>
      <c r="E40" s="19">
        <f t="shared" ref="E40:H40" ca="1" si="18">E39-E7</f>
        <v>0.9282868525896415</v>
      </c>
      <c r="F40" s="19">
        <f ca="1">F39-F7</f>
        <v>10.286852589641436</v>
      </c>
      <c r="G40" s="19">
        <f t="shared" ca="1" si="18"/>
        <v>0</v>
      </c>
      <c r="H40" s="19">
        <f t="shared" ca="1" si="18"/>
        <v>0</v>
      </c>
      <c r="I40" s="6"/>
      <c r="J40" s="6"/>
      <c r="K40" s="6"/>
    </row>
    <row r="42" spans="3:11" x14ac:dyDescent="0.25">
      <c r="D42" s="7" t="s">
        <v>36</v>
      </c>
      <c r="E42" s="7" t="s">
        <v>37</v>
      </c>
    </row>
    <row r="43" spans="3:11" x14ac:dyDescent="0.25">
      <c r="D43" s="19">
        <f ca="1">B7*D7/D34</f>
        <v>16.143426294820717</v>
      </c>
      <c r="E43" s="19">
        <f ca="1">B7/D43</f>
        <v>0.49555774925962487</v>
      </c>
    </row>
  </sheetData>
  <mergeCells count="15">
    <mergeCell ref="C2:C4"/>
    <mergeCell ref="A2:A4"/>
    <mergeCell ref="A24:B26"/>
    <mergeCell ref="J14:N14"/>
    <mergeCell ref="I36:K36"/>
    <mergeCell ref="D2:H4"/>
    <mergeCell ref="A5:A6"/>
    <mergeCell ref="B5:B6"/>
    <mergeCell ref="C5:C6"/>
    <mergeCell ref="D5:D6"/>
    <mergeCell ref="E5:E6"/>
    <mergeCell ref="F5:F6"/>
    <mergeCell ref="G5:G6"/>
    <mergeCell ref="H5:H6"/>
    <mergeCell ref="B2:B4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A49E-1900-4D74-AB5F-B63A50824F78}">
  <dimension ref="A1:N43"/>
  <sheetViews>
    <sheetView topLeftCell="A22" zoomScaleNormal="100" workbookViewId="0">
      <selection activeCell="F40" sqref="F40"/>
    </sheetView>
  </sheetViews>
  <sheetFormatPr defaultRowHeight="15" x14ac:dyDescent="0.25"/>
  <cols>
    <col min="2" max="2" width="15.7109375" customWidth="1"/>
    <col min="3" max="3" width="15" customWidth="1"/>
    <col min="4" max="4" width="13.85546875" customWidth="1"/>
    <col min="5" max="5" width="14" customWidth="1"/>
    <col min="6" max="6" width="12.5703125" customWidth="1"/>
    <col min="7" max="7" width="14" customWidth="1"/>
    <col min="8" max="8" width="20.28515625" customWidth="1"/>
    <col min="9" max="9" width="9.85546875" bestFit="1" customWidth="1"/>
  </cols>
  <sheetData>
    <row r="1" spans="1:14" ht="15.75" thickBot="1" x14ac:dyDescent="0.3">
      <c r="A1" s="1" t="s">
        <v>41</v>
      </c>
      <c r="C1" s="1" t="s">
        <v>51</v>
      </c>
      <c r="F1" t="s">
        <v>38</v>
      </c>
    </row>
    <row r="2" spans="1:14" ht="131.25" customHeight="1" x14ac:dyDescent="0.25">
      <c r="A2" s="41" t="s">
        <v>9</v>
      </c>
      <c r="B2" s="61" t="s">
        <v>7</v>
      </c>
      <c r="C2" s="41" t="s">
        <v>8</v>
      </c>
      <c r="D2" s="46" t="s">
        <v>1</v>
      </c>
      <c r="E2" s="47"/>
      <c r="F2" s="47"/>
      <c r="G2" s="47"/>
      <c r="H2" s="48"/>
    </row>
    <row r="3" spans="1:14" x14ac:dyDescent="0.25">
      <c r="A3" s="42"/>
      <c r="B3" s="62"/>
      <c r="C3" s="42"/>
      <c r="D3" s="49"/>
      <c r="E3" s="50"/>
      <c r="F3" s="50"/>
      <c r="G3" s="50"/>
      <c r="H3" s="51"/>
    </row>
    <row r="4" spans="1:14" ht="15.75" thickBot="1" x14ac:dyDescent="0.3">
      <c r="A4" s="42"/>
      <c r="B4" s="62"/>
      <c r="C4" s="42"/>
      <c r="D4" s="49"/>
      <c r="E4" s="50"/>
      <c r="F4" s="50"/>
      <c r="G4" s="50"/>
      <c r="H4" s="51"/>
    </row>
    <row r="5" spans="1:14" ht="18.75" customHeight="1" x14ac:dyDescent="0.25">
      <c r="A5" s="59"/>
      <c r="B5" s="59"/>
      <c r="C5" s="59"/>
      <c r="D5" s="57" t="s">
        <v>2</v>
      </c>
      <c r="E5" s="57" t="s">
        <v>3</v>
      </c>
      <c r="F5" s="57" t="s">
        <v>4</v>
      </c>
      <c r="G5" s="57" t="s">
        <v>39</v>
      </c>
      <c r="H5" s="57" t="s">
        <v>40</v>
      </c>
    </row>
    <row r="6" spans="1:14" ht="15.75" thickBot="1" x14ac:dyDescent="0.3">
      <c r="A6" s="60"/>
      <c r="B6" s="60"/>
      <c r="C6" s="60"/>
      <c r="D6" s="58"/>
      <c r="E6" s="58"/>
      <c r="F6" s="58"/>
      <c r="G6" s="58"/>
      <c r="H6" s="58"/>
    </row>
    <row r="7" spans="1:14" ht="19.5" thickBot="1" x14ac:dyDescent="0.3">
      <c r="A7" s="3" t="s">
        <v>50</v>
      </c>
      <c r="B7" s="4">
        <v>8</v>
      </c>
      <c r="C7" s="5">
        <v>5</v>
      </c>
      <c r="D7" s="5">
        <v>1</v>
      </c>
      <c r="E7" s="5">
        <v>1</v>
      </c>
      <c r="F7" s="5">
        <v>2</v>
      </c>
      <c r="G7" s="4">
        <v>0</v>
      </c>
      <c r="H7" s="4">
        <v>0</v>
      </c>
    </row>
    <row r="9" spans="1:14" x14ac:dyDescent="0.25">
      <c r="A9" s="6"/>
      <c r="B9" s="6"/>
      <c r="C9" s="6"/>
      <c r="D9" s="6"/>
      <c r="E9" s="7" t="s">
        <v>17</v>
      </c>
      <c r="F9" s="7" t="s">
        <v>18</v>
      </c>
      <c r="G9" s="7" t="s">
        <v>19</v>
      </c>
      <c r="H9" s="7" t="s">
        <v>20</v>
      </c>
    </row>
    <row r="10" spans="1:14" ht="15" customHeight="1" x14ac:dyDescent="0.25">
      <c r="A10" s="6"/>
      <c r="B10" s="6"/>
      <c r="C10" s="6"/>
      <c r="D10" s="6"/>
      <c r="E10" s="6">
        <v>1</v>
      </c>
      <c r="F10" s="6">
        <v>1</v>
      </c>
      <c r="G10" s="6">
        <v>1</v>
      </c>
      <c r="H10" s="6">
        <v>1</v>
      </c>
    </row>
    <row r="11" spans="1:14" ht="15" customHeight="1" x14ac:dyDescent="0.25">
      <c r="A11" s="6"/>
      <c r="B11" s="6"/>
      <c r="C11" s="6"/>
      <c r="D11" s="7" t="s">
        <v>12</v>
      </c>
      <c r="E11" s="7" t="s">
        <v>13</v>
      </c>
      <c r="F11" s="7" t="s">
        <v>14</v>
      </c>
      <c r="G11" s="7" t="s">
        <v>15</v>
      </c>
      <c r="H11" s="7" t="s">
        <v>16</v>
      </c>
    </row>
    <row r="12" spans="1:14" ht="15" customHeight="1" x14ac:dyDescent="0.25">
      <c r="A12" s="6"/>
      <c r="B12" s="6"/>
      <c r="C12" s="6"/>
      <c r="D12" s="6">
        <v>1</v>
      </c>
      <c r="E12" s="6">
        <f>$D$12*(E7/$D$7)*E10</f>
        <v>1</v>
      </c>
      <c r="F12" s="6">
        <f>$D$12*(F7/$D$7)*F10*0.5</f>
        <v>1</v>
      </c>
      <c r="G12" s="6">
        <f>$D$12*(G7/$D$7)*G10</f>
        <v>0</v>
      </c>
      <c r="H12" s="6">
        <f>$D$12*(H7/$D$7)*H10*0.5</f>
        <v>0</v>
      </c>
    </row>
    <row r="13" spans="1:14" x14ac:dyDescent="0.25">
      <c r="A13" s="6"/>
      <c r="B13" s="6"/>
      <c r="C13" s="6"/>
      <c r="D13" s="6"/>
      <c r="E13" s="6"/>
      <c r="F13" s="6"/>
      <c r="G13" s="6"/>
      <c r="H13" s="6"/>
    </row>
    <row r="14" spans="1:14" ht="18.75" x14ac:dyDescent="0.3">
      <c r="B14" s="6"/>
      <c r="C14" s="2" t="s">
        <v>21</v>
      </c>
      <c r="D14" s="6"/>
      <c r="E14" s="6"/>
      <c r="F14" s="6"/>
      <c r="G14" s="6"/>
      <c r="H14" s="6"/>
      <c r="J14" s="45" t="s">
        <v>33</v>
      </c>
      <c r="K14" s="45"/>
      <c r="L14" s="45"/>
      <c r="M14" s="45"/>
      <c r="N14" s="45"/>
    </row>
    <row r="15" spans="1:14" ht="15.75" thickBot="1" x14ac:dyDescent="0.3">
      <c r="C15" s="7" t="s">
        <v>22</v>
      </c>
      <c r="D15" s="7">
        <v>1</v>
      </c>
      <c r="E15" s="7">
        <f>D15+1</f>
        <v>2</v>
      </c>
      <c r="F15" s="7">
        <f t="shared" ref="F15:H15" si="0">E15+1</f>
        <v>3</v>
      </c>
      <c r="G15" s="7">
        <f t="shared" si="0"/>
        <v>4</v>
      </c>
      <c r="H15" s="7">
        <f t="shared" si="0"/>
        <v>5</v>
      </c>
      <c r="J15" s="1">
        <v>1</v>
      </c>
      <c r="K15" s="1">
        <v>2</v>
      </c>
      <c r="L15" s="1">
        <v>3</v>
      </c>
      <c r="M15" s="1">
        <v>4</v>
      </c>
      <c r="N15" s="1">
        <v>5</v>
      </c>
    </row>
    <row r="16" spans="1:14" x14ac:dyDescent="0.25">
      <c r="C16" s="34">
        <v>0</v>
      </c>
      <c r="D16" s="35">
        <v>1</v>
      </c>
      <c r="E16" s="27">
        <f>D16</f>
        <v>1</v>
      </c>
      <c r="F16" s="28">
        <f t="shared" ref="F16:H16" si="1">E16</f>
        <v>1</v>
      </c>
      <c r="G16" s="11">
        <f t="shared" si="1"/>
        <v>1</v>
      </c>
      <c r="H16" s="12">
        <f t="shared" si="1"/>
        <v>1</v>
      </c>
    </row>
    <row r="17" spans="1:14" x14ac:dyDescent="0.25">
      <c r="C17" s="36">
        <v>1</v>
      </c>
      <c r="D17" s="13">
        <v>1</v>
      </c>
      <c r="E17" s="6">
        <f>D17+E16*E$12</f>
        <v>2</v>
      </c>
      <c r="F17" s="30">
        <f t="shared" ref="F17:G31" si="2">E17+F16*F$12</f>
        <v>3</v>
      </c>
      <c r="G17" s="6">
        <f>F17+G16*G$12</f>
        <v>3</v>
      </c>
      <c r="H17" s="14">
        <f>G17+H$12*(H16+G16)</f>
        <v>3</v>
      </c>
      <c r="J17" s="10">
        <f ca="1">(D$12^$C17)*INDIRECT(ADDRESS(16+$B$7-$C17,8))</f>
        <v>36</v>
      </c>
      <c r="K17" s="11">
        <f t="shared" ref="K17:M31" ca="1" si="3">(E$12^$C17)*INDIRECT(ADDRESS(16+$B$7-$C17,8))</f>
        <v>36</v>
      </c>
      <c r="L17" s="11">
        <f ca="1">(F$12^$C17)*INDIRECT(ADDRESS(16+$B$7-$C17,8))</f>
        <v>36</v>
      </c>
      <c r="M17" s="11">
        <f t="shared" ca="1" si="3"/>
        <v>0</v>
      </c>
      <c r="N17" s="12">
        <f ca="1">(H$12^$C17)*(INDIRECT(ADDRESS(16+$B$7-$C17,8))+INDIRECT(ADDRESS(16+$B$7-$C17,7)))</f>
        <v>0</v>
      </c>
    </row>
    <row r="18" spans="1:14" x14ac:dyDescent="0.25">
      <c r="C18" s="36">
        <f>C17+1</f>
        <v>2</v>
      </c>
      <c r="D18" s="13">
        <f>D16</f>
        <v>1</v>
      </c>
      <c r="E18" s="6">
        <f t="shared" ref="E18:E31" si="4">D18+E17*E$12</f>
        <v>3</v>
      </c>
      <c r="F18" s="30">
        <f t="shared" si="2"/>
        <v>6</v>
      </c>
      <c r="G18" s="6">
        <f t="shared" si="2"/>
        <v>6</v>
      </c>
      <c r="H18" s="14">
        <f t="shared" ref="H18:H31" si="5">G18+H$12*(H17+G17)</f>
        <v>6</v>
      </c>
      <c r="J18" s="13">
        <f t="shared" ref="J18:J31" ca="1" si="6">(D$12^$C18)*INDIRECT(ADDRESS(16+$B$7-$C18,8))</f>
        <v>28</v>
      </c>
      <c r="K18" s="6">
        <f t="shared" ca="1" si="3"/>
        <v>28</v>
      </c>
      <c r="L18" s="6">
        <f t="shared" ca="1" si="3"/>
        <v>28</v>
      </c>
      <c r="M18" s="6">
        <f t="shared" ca="1" si="3"/>
        <v>0</v>
      </c>
      <c r="N18" s="14">
        <f t="shared" ref="N18:N31" ca="1" si="7">(H$12^$C18)*(INDIRECT(ADDRESS(16+$B$7-$C18,8))+INDIRECT(ADDRESS(16+$B$7-$C18,7)))</f>
        <v>0</v>
      </c>
    </row>
    <row r="19" spans="1:14" x14ac:dyDescent="0.25">
      <c r="C19" s="36">
        <f t="shared" ref="C19:C31" si="8">C18+1</f>
        <v>3</v>
      </c>
      <c r="D19" s="13">
        <f t="shared" ref="D19:D31" si="9">D18</f>
        <v>1</v>
      </c>
      <c r="E19" s="6">
        <f t="shared" si="4"/>
        <v>4</v>
      </c>
      <c r="F19" s="30">
        <f t="shared" si="2"/>
        <v>10</v>
      </c>
      <c r="G19" s="6">
        <f t="shared" si="2"/>
        <v>10</v>
      </c>
      <c r="H19" s="14">
        <f t="shared" si="5"/>
        <v>10</v>
      </c>
      <c r="J19" s="13">
        <f t="shared" ca="1" si="6"/>
        <v>21</v>
      </c>
      <c r="K19" s="6">
        <f t="shared" ca="1" si="3"/>
        <v>21</v>
      </c>
      <c r="L19" s="6">
        <f t="shared" ca="1" si="3"/>
        <v>21</v>
      </c>
      <c r="M19" s="6">
        <f t="shared" ca="1" si="3"/>
        <v>0</v>
      </c>
      <c r="N19" s="14">
        <f t="shared" ca="1" si="7"/>
        <v>0</v>
      </c>
    </row>
    <row r="20" spans="1:14" x14ac:dyDescent="0.25">
      <c r="C20" s="36">
        <f t="shared" si="8"/>
        <v>4</v>
      </c>
      <c r="D20" s="13">
        <f t="shared" si="9"/>
        <v>1</v>
      </c>
      <c r="E20" s="6">
        <f t="shared" si="4"/>
        <v>5</v>
      </c>
      <c r="F20" s="30">
        <f t="shared" si="2"/>
        <v>15</v>
      </c>
      <c r="G20" s="6">
        <f t="shared" si="2"/>
        <v>15</v>
      </c>
      <c r="H20" s="14">
        <f t="shared" si="5"/>
        <v>15</v>
      </c>
      <c r="J20" s="13">
        <f t="shared" ca="1" si="6"/>
        <v>15</v>
      </c>
      <c r="K20" s="6">
        <f t="shared" ca="1" si="3"/>
        <v>15</v>
      </c>
      <c r="L20" s="6">
        <f t="shared" ca="1" si="3"/>
        <v>15</v>
      </c>
      <c r="M20" s="6">
        <f t="shared" ca="1" si="3"/>
        <v>0</v>
      </c>
      <c r="N20" s="14">
        <f t="shared" ca="1" si="7"/>
        <v>0</v>
      </c>
    </row>
    <row r="21" spans="1:14" x14ac:dyDescent="0.25">
      <c r="C21" s="36">
        <f t="shared" si="8"/>
        <v>5</v>
      </c>
      <c r="D21" s="13">
        <f t="shared" si="9"/>
        <v>1</v>
      </c>
      <c r="E21" s="6">
        <f t="shared" si="4"/>
        <v>6</v>
      </c>
      <c r="F21" s="30">
        <f t="shared" si="2"/>
        <v>21</v>
      </c>
      <c r="G21" s="6">
        <f t="shared" si="2"/>
        <v>21</v>
      </c>
      <c r="H21" s="14">
        <f t="shared" si="5"/>
        <v>21</v>
      </c>
      <c r="J21" s="13">
        <f t="shared" ca="1" si="6"/>
        <v>10</v>
      </c>
      <c r="K21" s="6">
        <f t="shared" ca="1" si="3"/>
        <v>10</v>
      </c>
      <c r="L21" s="6">
        <f ca="1">(F$12^$C21)*INDIRECT(ADDRESS(16+$B$7-$C21,8))</f>
        <v>10</v>
      </c>
      <c r="M21" s="6">
        <f t="shared" ca="1" si="3"/>
        <v>0</v>
      </c>
      <c r="N21" s="14">
        <f t="shared" ca="1" si="7"/>
        <v>0</v>
      </c>
    </row>
    <row r="22" spans="1:14" x14ac:dyDescent="0.25">
      <c r="C22" s="36">
        <f t="shared" si="8"/>
        <v>6</v>
      </c>
      <c r="D22" s="13">
        <f t="shared" si="9"/>
        <v>1</v>
      </c>
      <c r="E22" s="6">
        <f t="shared" si="4"/>
        <v>7</v>
      </c>
      <c r="F22" s="30">
        <f t="shared" si="2"/>
        <v>28</v>
      </c>
      <c r="G22" s="6">
        <f t="shared" si="2"/>
        <v>28</v>
      </c>
      <c r="H22" s="14">
        <f>G22+H$12*(H21+G21)</f>
        <v>28</v>
      </c>
      <c r="J22" s="13">
        <f t="shared" ca="1" si="6"/>
        <v>6</v>
      </c>
      <c r="K22" s="6">
        <f t="shared" ca="1" si="3"/>
        <v>6</v>
      </c>
      <c r="L22" s="6">
        <f t="shared" ca="1" si="3"/>
        <v>6</v>
      </c>
      <c r="M22" s="6">
        <f t="shared" ca="1" si="3"/>
        <v>0</v>
      </c>
      <c r="N22" s="14">
        <f t="shared" ca="1" si="7"/>
        <v>0</v>
      </c>
    </row>
    <row r="23" spans="1:14" x14ac:dyDescent="0.25">
      <c r="C23" s="36">
        <f t="shared" si="8"/>
        <v>7</v>
      </c>
      <c r="D23" s="13">
        <f t="shared" si="9"/>
        <v>1</v>
      </c>
      <c r="E23" s="6">
        <f t="shared" si="4"/>
        <v>8</v>
      </c>
      <c r="F23" s="30">
        <f t="shared" si="2"/>
        <v>36</v>
      </c>
      <c r="G23" s="6">
        <f t="shared" si="2"/>
        <v>36</v>
      </c>
      <c r="H23" s="14">
        <f t="shared" si="5"/>
        <v>36</v>
      </c>
      <c r="J23" s="13">
        <f t="shared" ca="1" si="6"/>
        <v>3</v>
      </c>
      <c r="K23" s="6">
        <f t="shared" ca="1" si="3"/>
        <v>3</v>
      </c>
      <c r="L23" s="6">
        <f t="shared" ca="1" si="3"/>
        <v>3</v>
      </c>
      <c r="M23" s="6">
        <f t="shared" ca="1" si="3"/>
        <v>0</v>
      </c>
      <c r="N23" s="14">
        <f t="shared" ca="1" si="7"/>
        <v>0</v>
      </c>
    </row>
    <row r="24" spans="1:14" ht="15.75" thickBot="1" x14ac:dyDescent="0.3">
      <c r="C24" s="37">
        <f t="shared" si="8"/>
        <v>8</v>
      </c>
      <c r="D24" s="38">
        <f t="shared" si="9"/>
        <v>1</v>
      </c>
      <c r="E24" s="32">
        <f t="shared" si="4"/>
        <v>9</v>
      </c>
      <c r="F24" s="33">
        <f>E24+F23*F$12</f>
        <v>45</v>
      </c>
      <c r="G24" s="6">
        <f t="shared" si="2"/>
        <v>45</v>
      </c>
      <c r="H24" s="14">
        <f t="shared" si="5"/>
        <v>45</v>
      </c>
      <c r="J24" s="13">
        <f t="shared" ca="1" si="6"/>
        <v>1</v>
      </c>
      <c r="K24" s="6">
        <f t="shared" ca="1" si="3"/>
        <v>1</v>
      </c>
      <c r="L24" s="6">
        <f t="shared" ca="1" si="3"/>
        <v>1</v>
      </c>
      <c r="M24" s="6">
        <f t="shared" ca="1" si="3"/>
        <v>0</v>
      </c>
      <c r="N24" s="14">
        <f t="shared" ca="1" si="7"/>
        <v>0</v>
      </c>
    </row>
    <row r="25" spans="1:14" x14ac:dyDescent="0.25">
      <c r="C25" s="7">
        <f t="shared" si="8"/>
        <v>9</v>
      </c>
      <c r="D25" s="13">
        <f t="shared" si="9"/>
        <v>1</v>
      </c>
      <c r="E25" s="6">
        <f t="shared" si="4"/>
        <v>10</v>
      </c>
      <c r="F25" s="6">
        <f t="shared" si="2"/>
        <v>55</v>
      </c>
      <c r="G25" s="6">
        <f t="shared" si="2"/>
        <v>55</v>
      </c>
      <c r="H25" s="14">
        <f t="shared" si="5"/>
        <v>55</v>
      </c>
      <c r="J25" s="13">
        <f t="shared" ca="1" si="6"/>
        <v>5</v>
      </c>
      <c r="K25" s="6">
        <f t="shared" ca="1" si="3"/>
        <v>5</v>
      </c>
      <c r="L25" s="6">
        <f t="shared" ca="1" si="3"/>
        <v>5</v>
      </c>
      <c r="M25" s="6">
        <f t="shared" ca="1" si="3"/>
        <v>0</v>
      </c>
      <c r="N25" s="14">
        <f t="shared" ca="1" si="7"/>
        <v>0</v>
      </c>
    </row>
    <row r="26" spans="1:14" x14ac:dyDescent="0.25">
      <c r="C26" s="8">
        <f t="shared" si="8"/>
        <v>10</v>
      </c>
      <c r="D26" s="13">
        <f t="shared" si="9"/>
        <v>1</v>
      </c>
      <c r="E26" s="6">
        <f t="shared" si="4"/>
        <v>11</v>
      </c>
      <c r="F26" s="6">
        <f t="shared" si="2"/>
        <v>66</v>
      </c>
      <c r="G26" s="6">
        <f t="shared" si="2"/>
        <v>66</v>
      </c>
      <c r="H26" s="14">
        <f t="shared" si="5"/>
        <v>66</v>
      </c>
      <c r="J26" s="13">
        <f t="shared" ca="1" si="6"/>
        <v>0</v>
      </c>
      <c r="K26" s="6">
        <f t="shared" ca="1" si="3"/>
        <v>0</v>
      </c>
      <c r="L26" s="6">
        <f t="shared" ca="1" si="3"/>
        <v>0</v>
      </c>
      <c r="M26" s="6">
        <f t="shared" ca="1" si="3"/>
        <v>0</v>
      </c>
      <c r="N26" s="14">
        <f t="shared" ca="1" si="7"/>
        <v>0</v>
      </c>
    </row>
    <row r="27" spans="1:14" x14ac:dyDescent="0.25">
      <c r="C27" s="8">
        <f t="shared" si="8"/>
        <v>11</v>
      </c>
      <c r="D27" s="13">
        <f t="shared" si="9"/>
        <v>1</v>
      </c>
      <c r="E27" s="6">
        <f t="shared" si="4"/>
        <v>12</v>
      </c>
      <c r="F27" s="6">
        <f t="shared" si="2"/>
        <v>78</v>
      </c>
      <c r="G27" s="6">
        <f t="shared" si="2"/>
        <v>78</v>
      </c>
      <c r="H27" s="14">
        <f t="shared" si="5"/>
        <v>78</v>
      </c>
      <c r="J27" s="13">
        <f t="shared" ca="1" si="6"/>
        <v>0</v>
      </c>
      <c r="K27" s="6">
        <f t="shared" ca="1" si="3"/>
        <v>0</v>
      </c>
      <c r="L27" s="6">
        <f t="shared" ca="1" si="3"/>
        <v>0</v>
      </c>
      <c r="M27" s="6">
        <f t="shared" ca="1" si="3"/>
        <v>0</v>
      </c>
      <c r="N27" s="14">
        <f t="shared" ca="1" si="7"/>
        <v>0</v>
      </c>
    </row>
    <row r="28" spans="1:14" x14ac:dyDescent="0.25">
      <c r="C28" s="8">
        <f t="shared" si="8"/>
        <v>12</v>
      </c>
      <c r="D28" s="13">
        <f t="shared" si="9"/>
        <v>1</v>
      </c>
      <c r="E28" s="6">
        <f t="shared" si="4"/>
        <v>13</v>
      </c>
      <c r="F28" s="6">
        <f t="shared" si="2"/>
        <v>91</v>
      </c>
      <c r="G28" s="6">
        <f t="shared" si="2"/>
        <v>91</v>
      </c>
      <c r="H28" s="14">
        <f t="shared" si="5"/>
        <v>91</v>
      </c>
      <c r="J28" s="13">
        <f t="shared" ca="1" si="6"/>
        <v>0</v>
      </c>
      <c r="K28" s="6">
        <f t="shared" ca="1" si="3"/>
        <v>0</v>
      </c>
      <c r="L28" s="6">
        <f t="shared" ca="1" si="3"/>
        <v>0</v>
      </c>
      <c r="M28" s="6">
        <f t="shared" ca="1" si="3"/>
        <v>0</v>
      </c>
      <c r="N28" s="14">
        <f t="shared" ca="1" si="7"/>
        <v>0</v>
      </c>
    </row>
    <row r="29" spans="1:14" x14ac:dyDescent="0.25">
      <c r="A29" s="44" t="s">
        <v>42</v>
      </c>
      <c r="B29" s="44"/>
      <c r="C29" s="8">
        <f t="shared" si="8"/>
        <v>13</v>
      </c>
      <c r="D29" s="13">
        <f t="shared" si="9"/>
        <v>1</v>
      </c>
      <c r="E29" s="6">
        <f t="shared" si="4"/>
        <v>14</v>
      </c>
      <c r="F29" s="6">
        <f t="shared" si="2"/>
        <v>105</v>
      </c>
      <c r="G29" s="6">
        <f t="shared" si="2"/>
        <v>105</v>
      </c>
      <c r="H29" s="14">
        <f t="shared" si="5"/>
        <v>105</v>
      </c>
      <c r="J29" s="13" t="e">
        <f t="shared" ca="1" si="6"/>
        <v>#VALUE!</v>
      </c>
      <c r="K29" s="6" t="e">
        <f t="shared" ca="1" si="3"/>
        <v>#VALUE!</v>
      </c>
      <c r="L29" s="6" t="e">
        <f t="shared" ca="1" si="3"/>
        <v>#VALUE!</v>
      </c>
      <c r="M29" s="6" t="e">
        <f t="shared" ca="1" si="3"/>
        <v>#VALUE!</v>
      </c>
      <c r="N29" s="14" t="e">
        <f t="shared" ca="1" si="7"/>
        <v>#VALUE!</v>
      </c>
    </row>
    <row r="30" spans="1:14" x14ac:dyDescent="0.25">
      <c r="A30" s="44"/>
      <c r="B30" s="44"/>
      <c r="C30" s="8">
        <f t="shared" si="8"/>
        <v>14</v>
      </c>
      <c r="D30" s="13">
        <f t="shared" si="9"/>
        <v>1</v>
      </c>
      <c r="E30" s="6">
        <f t="shared" si="4"/>
        <v>15</v>
      </c>
      <c r="F30" s="6">
        <f t="shared" si="2"/>
        <v>120</v>
      </c>
      <c r="G30" s="6">
        <f t="shared" si="2"/>
        <v>120</v>
      </c>
      <c r="H30" s="14">
        <f t="shared" si="5"/>
        <v>120</v>
      </c>
      <c r="J30" s="13">
        <f t="shared" ca="1" si="6"/>
        <v>1</v>
      </c>
      <c r="K30" s="6">
        <f t="shared" ca="1" si="3"/>
        <v>1</v>
      </c>
      <c r="L30" s="6">
        <f t="shared" ca="1" si="3"/>
        <v>1</v>
      </c>
      <c r="M30" s="6">
        <f t="shared" ca="1" si="3"/>
        <v>0</v>
      </c>
      <c r="N30" s="14">
        <f t="shared" ca="1" si="7"/>
        <v>0</v>
      </c>
    </row>
    <row r="31" spans="1:14" x14ac:dyDescent="0.25">
      <c r="A31" s="44"/>
      <c r="B31" s="44"/>
      <c r="C31" s="9">
        <f t="shared" si="8"/>
        <v>15</v>
      </c>
      <c r="D31" s="15">
        <f t="shared" si="9"/>
        <v>1</v>
      </c>
      <c r="E31" s="16">
        <f t="shared" si="4"/>
        <v>16</v>
      </c>
      <c r="F31" s="16">
        <f t="shared" si="2"/>
        <v>136</v>
      </c>
      <c r="G31" s="16">
        <f t="shared" si="2"/>
        <v>136</v>
      </c>
      <c r="H31" s="17">
        <f t="shared" si="5"/>
        <v>136</v>
      </c>
      <c r="J31" s="15" t="e">
        <f t="shared" ca="1" si="6"/>
        <v>#VALUE!</v>
      </c>
      <c r="K31" s="16" t="e">
        <f t="shared" ca="1" si="3"/>
        <v>#VALUE!</v>
      </c>
      <c r="L31" s="16" t="e">
        <f t="shared" ca="1" si="3"/>
        <v>#VALUE!</v>
      </c>
      <c r="M31" s="16" t="e">
        <f t="shared" ca="1" si="3"/>
        <v>#VALUE!</v>
      </c>
      <c r="N31" s="17" t="e">
        <f t="shared" ca="1" si="7"/>
        <v>#VALUE!</v>
      </c>
    </row>
    <row r="33" spans="3:11" x14ac:dyDescent="0.25">
      <c r="D33" s="7" t="s">
        <v>23</v>
      </c>
      <c r="E33" s="7" t="s">
        <v>24</v>
      </c>
      <c r="F33" s="7" t="s">
        <v>25</v>
      </c>
      <c r="G33" s="7" t="s">
        <v>26</v>
      </c>
      <c r="H33" s="7" t="s">
        <v>27</v>
      </c>
      <c r="I33" s="7" t="s">
        <v>43</v>
      </c>
    </row>
    <row r="34" spans="3:11" x14ac:dyDescent="0.25">
      <c r="D34" s="18">
        <f ca="1">INDIRECT(ADDRESS(15+$B$7,8))/INDIRECT(ADDRESS(16+$B$7,8))</f>
        <v>0.8</v>
      </c>
      <c r="E34" s="18">
        <f ca="1">$D$34*E12</f>
        <v>0.8</v>
      </c>
      <c r="F34" s="18">
        <f ca="1">F12*I34</f>
        <v>0.97777777777777775</v>
      </c>
      <c r="G34" s="18">
        <f t="shared" ref="G34" ca="1" si="10">$D$34*G12</f>
        <v>0</v>
      </c>
      <c r="H34" s="18">
        <f ca="1">H12*I34</f>
        <v>0</v>
      </c>
      <c r="I34" s="18">
        <f ca="1">F12*((INDIRECT(ADDRESS(15+$B$7,6))+INDIRECT(ADDRESS(15+$B$7,5)))/INDIRECT(ADDRESS(16+$B$7,6)))</f>
        <v>0.97777777777777775</v>
      </c>
    </row>
    <row r="36" spans="3:11" x14ac:dyDescent="0.25">
      <c r="C36" s="6"/>
      <c r="D36" s="7">
        <v>1</v>
      </c>
      <c r="E36" s="7">
        <f>D36+1</f>
        <v>2</v>
      </c>
      <c r="F36" s="7">
        <f t="shared" ref="F36:H36" si="11">E36+1</f>
        <v>3</v>
      </c>
      <c r="G36" s="7">
        <f t="shared" si="11"/>
        <v>4</v>
      </c>
      <c r="H36" s="7">
        <f t="shared" si="11"/>
        <v>5</v>
      </c>
      <c r="I36" s="45" t="s">
        <v>34</v>
      </c>
      <c r="J36" s="45"/>
      <c r="K36" s="45"/>
    </row>
    <row r="37" spans="3:11" x14ac:dyDescent="0.25">
      <c r="C37" s="7" t="s">
        <v>28</v>
      </c>
      <c r="D37" s="19">
        <f ca="1">SUM(J17:INDIRECT(ADDRESS(16+$B$7,9+D$36)))/INDIRECT(ADDRESS(16+$B$7,8))</f>
        <v>2.6666666666666665</v>
      </c>
      <c r="E37" s="19">
        <f ca="1">SUM(K17:INDIRECT(ADDRESS(16+$B$7,9+E$36)))/INDIRECT(ADDRESS(16+$B$7,8))</f>
        <v>2.6666666666666665</v>
      </c>
      <c r="F37" s="19">
        <f ca="1">SUM(L17:INDIRECT(ADDRESS(16+$B$7,9+F$36)))/INDIRECT(ADDRESS(16+$B$7,8))</f>
        <v>2.6666666666666665</v>
      </c>
      <c r="G37" s="19">
        <f ca="1">SUM(M17:INDIRECT(ADDRESS(16+$B$7,9+G$36)))/INDIRECT(ADDRESS(16+$B$7,8))</f>
        <v>0</v>
      </c>
      <c r="H37" s="19">
        <f ca="1">SUM(N17:INDIRECT(ADDRESS(16+$B$7,9+H$36)))/INDIRECT(ADDRESS(16+$B$7,8))</f>
        <v>0</v>
      </c>
      <c r="I37" s="19">
        <f ca="1">SUM(D37:H37)</f>
        <v>8</v>
      </c>
      <c r="J37" s="20" t="s">
        <v>35</v>
      </c>
      <c r="K37" s="6">
        <f>B7</f>
        <v>8</v>
      </c>
    </row>
    <row r="38" spans="3:11" x14ac:dyDescent="0.25">
      <c r="C38" s="7" t="s">
        <v>29</v>
      </c>
      <c r="D38" s="19">
        <f ca="1">D37-D34</f>
        <v>1.8666666666666665</v>
      </c>
      <c r="E38" s="19">
        <f t="shared" ref="E38:G38" ca="1" si="12">E37-E34</f>
        <v>1.8666666666666665</v>
      </c>
      <c r="F38" s="19">
        <f ca="1">F37-F34</f>
        <v>1.6888888888888887</v>
      </c>
      <c r="G38" s="19">
        <f t="shared" ca="1" si="12"/>
        <v>0</v>
      </c>
      <c r="H38" s="19">
        <f ca="1">H37-H34</f>
        <v>0</v>
      </c>
      <c r="I38" s="6"/>
      <c r="J38" s="6"/>
      <c r="K38" s="6"/>
    </row>
    <row r="39" spans="3:11" x14ac:dyDescent="0.25">
      <c r="C39" s="7" t="s">
        <v>30</v>
      </c>
      <c r="D39" s="19">
        <f ca="1">$D$43*D37/$B$7</f>
        <v>3.333333333333333</v>
      </c>
      <c r="E39" s="19">
        <f t="shared" ref="E39:F39" ca="1" si="13">$D$43*E37/$B$7</f>
        <v>3.333333333333333</v>
      </c>
      <c r="F39" s="19">
        <f t="shared" ca="1" si="13"/>
        <v>3.333333333333333</v>
      </c>
      <c r="G39" s="19">
        <f ca="1">$D$43*G37/$B$7</f>
        <v>0</v>
      </c>
      <c r="H39" s="19">
        <f ca="1">$D$43*H37/$B$7</f>
        <v>0</v>
      </c>
      <c r="I39" s="19">
        <f ca="1">SUM(D39:H39)</f>
        <v>10</v>
      </c>
      <c r="J39" s="20" t="s">
        <v>35</v>
      </c>
      <c r="K39" s="19">
        <f ca="1">$D$43</f>
        <v>10</v>
      </c>
    </row>
    <row r="40" spans="3:11" x14ac:dyDescent="0.25">
      <c r="C40" s="7" t="s">
        <v>31</v>
      </c>
      <c r="D40" s="19">
        <f ca="1">D39-D7</f>
        <v>2.333333333333333</v>
      </c>
      <c r="E40" s="19">
        <f t="shared" ref="E40:F40" ca="1" si="14">E39-E7</f>
        <v>2.333333333333333</v>
      </c>
      <c r="F40" s="19">
        <f t="shared" ca="1" si="14"/>
        <v>1.333333333333333</v>
      </c>
      <c r="G40" s="19">
        <f ca="1">G39-G7</f>
        <v>0</v>
      </c>
      <c r="H40" s="19">
        <f ca="1">H39-H7</f>
        <v>0</v>
      </c>
      <c r="I40" s="6"/>
      <c r="J40" s="6"/>
      <c r="K40" s="6"/>
    </row>
    <row r="42" spans="3:11" x14ac:dyDescent="0.25">
      <c r="D42" s="7" t="s">
        <v>36</v>
      </c>
      <c r="E42" s="7" t="s">
        <v>37</v>
      </c>
    </row>
    <row r="43" spans="3:11" x14ac:dyDescent="0.25">
      <c r="D43" s="19">
        <f ca="1">B7*D7/D34</f>
        <v>10</v>
      </c>
      <c r="E43" s="19">
        <f ca="1">B7/D43</f>
        <v>0.8</v>
      </c>
    </row>
  </sheetData>
  <mergeCells count="15">
    <mergeCell ref="J14:N14"/>
    <mergeCell ref="A29:B31"/>
    <mergeCell ref="I36:K36"/>
    <mergeCell ref="G5:G6"/>
    <mergeCell ref="H5:H6"/>
    <mergeCell ref="A2:A4"/>
    <mergeCell ref="C2:C4"/>
    <mergeCell ref="D5:D6"/>
    <mergeCell ref="E5:E6"/>
    <mergeCell ref="F5:F6"/>
    <mergeCell ref="A5:A6"/>
    <mergeCell ref="B2:B4"/>
    <mergeCell ref="D2:H4"/>
    <mergeCell ref="B5:B6"/>
    <mergeCell ref="C5:C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08CEB-C53D-4ED5-AB6B-25E5721F3F71}">
  <dimension ref="A1:N31"/>
  <sheetViews>
    <sheetView zoomScale="85" zoomScaleNormal="85" workbookViewId="0">
      <selection activeCell="B13" sqref="B13"/>
    </sheetView>
  </sheetViews>
  <sheetFormatPr defaultRowHeight="15" x14ac:dyDescent="0.25"/>
  <cols>
    <col min="1" max="1" width="9" bestFit="1" customWidth="1"/>
    <col min="2" max="2" width="15.7109375" customWidth="1"/>
    <col min="3" max="3" width="15" customWidth="1"/>
    <col min="4" max="4" width="13.85546875" customWidth="1"/>
    <col min="5" max="5" width="14" customWidth="1"/>
    <col min="6" max="6" width="12.5703125" customWidth="1"/>
    <col min="7" max="7" width="14" customWidth="1"/>
    <col min="8" max="8" width="20.28515625" customWidth="1"/>
    <col min="9" max="9" width="10.28515625" bestFit="1" customWidth="1"/>
    <col min="11" max="11" width="9" bestFit="1" customWidth="1"/>
  </cols>
  <sheetData>
    <row r="1" spans="1:12" ht="15.75" thickBot="1" x14ac:dyDescent="0.3">
      <c r="A1" s="1" t="s">
        <v>44</v>
      </c>
      <c r="C1" s="1" t="s">
        <v>52</v>
      </c>
      <c r="F1" t="s">
        <v>38</v>
      </c>
    </row>
    <row r="2" spans="1:12" ht="131.25" customHeight="1" x14ac:dyDescent="0.25">
      <c r="A2" s="41" t="s">
        <v>9</v>
      </c>
      <c r="B2" s="61" t="s">
        <v>7</v>
      </c>
      <c r="C2" s="41" t="s">
        <v>8</v>
      </c>
      <c r="D2" s="46" t="s">
        <v>1</v>
      </c>
      <c r="E2" s="47"/>
      <c r="F2" s="47"/>
      <c r="G2" s="47"/>
      <c r="H2" s="48"/>
    </row>
    <row r="3" spans="1:12" x14ac:dyDescent="0.25">
      <c r="A3" s="42"/>
      <c r="B3" s="62"/>
      <c r="C3" s="42"/>
      <c r="D3" s="49"/>
      <c r="E3" s="50"/>
      <c r="F3" s="50"/>
      <c r="G3" s="50"/>
      <c r="H3" s="51"/>
    </row>
    <row r="4" spans="1:12" ht="15.75" thickBot="1" x14ac:dyDescent="0.3">
      <c r="A4" s="42"/>
      <c r="B4" s="62"/>
      <c r="C4" s="42"/>
      <c r="D4" s="49"/>
      <c r="E4" s="50"/>
      <c r="F4" s="50"/>
      <c r="G4" s="50"/>
      <c r="H4" s="51"/>
    </row>
    <row r="5" spans="1:12" ht="18.75" customHeight="1" x14ac:dyDescent="0.25">
      <c r="A5" s="59"/>
      <c r="B5" s="59"/>
      <c r="C5" s="59"/>
      <c r="D5" s="57" t="s">
        <v>2</v>
      </c>
      <c r="E5" s="57" t="s">
        <v>3</v>
      </c>
      <c r="F5" s="57" t="s">
        <v>4</v>
      </c>
      <c r="G5" s="57" t="s">
        <v>39</v>
      </c>
      <c r="H5" s="57" t="s">
        <v>45</v>
      </c>
    </row>
    <row r="6" spans="1:12" ht="15.75" thickBot="1" x14ac:dyDescent="0.3">
      <c r="A6" s="60"/>
      <c r="B6" s="60"/>
      <c r="C6" s="60"/>
      <c r="D6" s="58"/>
      <c r="E6" s="58"/>
      <c r="F6" s="58"/>
      <c r="G6" s="58"/>
      <c r="H6" s="58"/>
    </row>
    <row r="7" spans="1:12" ht="19.5" thickBot="1" x14ac:dyDescent="0.3">
      <c r="A7" s="3" t="s">
        <v>50</v>
      </c>
      <c r="B7" s="4">
        <v>8</v>
      </c>
      <c r="C7" s="5">
        <v>5</v>
      </c>
      <c r="D7" s="5">
        <v>1</v>
      </c>
      <c r="E7" s="5">
        <v>1</v>
      </c>
      <c r="F7" s="5">
        <v>2</v>
      </c>
      <c r="G7" s="4">
        <v>0</v>
      </c>
      <c r="H7" s="4">
        <v>0</v>
      </c>
    </row>
    <row r="9" spans="1:12" x14ac:dyDescent="0.25">
      <c r="A9" s="7" t="s">
        <v>36</v>
      </c>
      <c r="B9" s="7" t="s">
        <v>37</v>
      </c>
    </row>
    <row r="10" spans="1:12" ht="15" customHeight="1" x14ac:dyDescent="0.25">
      <c r="A10" s="19">
        <f>$B$7*MAX($D$7:$H$7)+SUM($D$10:$H$10)-MAX($D$7:$H$7)</f>
        <v>17</v>
      </c>
      <c r="B10" s="19">
        <f>$B$7/A10</f>
        <v>0.47058823529411764</v>
      </c>
      <c r="D10">
        <f>D$7*D$7/MAX($D$7:$H$7)</f>
        <v>0.5</v>
      </c>
      <c r="E10">
        <f t="shared" ref="E10:H10" si="0">E$7*E$7/MAX($D$7:$H$7)</f>
        <v>0.5</v>
      </c>
      <c r="F10">
        <f t="shared" si="0"/>
        <v>2</v>
      </c>
      <c r="G10">
        <f t="shared" si="0"/>
        <v>0</v>
      </c>
      <c r="H10">
        <f t="shared" si="0"/>
        <v>0</v>
      </c>
      <c r="I10" t="s">
        <v>46</v>
      </c>
    </row>
    <row r="11" spans="1:12" ht="15" customHeight="1" x14ac:dyDescent="0.25">
      <c r="A11" s="6"/>
      <c r="B11" s="6"/>
    </row>
    <row r="12" spans="1:12" ht="15" customHeight="1" x14ac:dyDescent="0.25">
      <c r="A12" s="6"/>
      <c r="B12" s="6"/>
      <c r="D12" s="7" t="s">
        <v>23</v>
      </c>
      <c r="E12" s="7" t="s">
        <v>24</v>
      </c>
      <c r="F12" s="7" t="s">
        <v>25</v>
      </c>
      <c r="G12" s="7" t="s">
        <v>26</v>
      </c>
      <c r="H12" s="7" t="s">
        <v>27</v>
      </c>
      <c r="I12" s="7"/>
    </row>
    <row r="13" spans="1:12" x14ac:dyDescent="0.25">
      <c r="A13" s="6"/>
      <c r="B13" s="6"/>
      <c r="D13" s="18">
        <f>$B$7*D$7/$A$10</f>
        <v>0.47058823529411764</v>
      </c>
      <c r="E13" s="18">
        <f t="shared" ref="E13:H13" si="1">$B$7*E$7/$A$10</f>
        <v>0.47058823529411764</v>
      </c>
      <c r="F13" s="18">
        <f t="shared" si="1"/>
        <v>0.94117647058823528</v>
      </c>
      <c r="G13" s="18">
        <f t="shared" si="1"/>
        <v>0</v>
      </c>
      <c r="H13" s="18">
        <f t="shared" si="1"/>
        <v>0</v>
      </c>
      <c r="I13" s="18"/>
    </row>
    <row r="14" spans="1:12" x14ac:dyDescent="0.25">
      <c r="B14" s="6"/>
    </row>
    <row r="15" spans="1:12" x14ac:dyDescent="0.25">
      <c r="C15" s="6"/>
      <c r="D15" s="7">
        <v>1</v>
      </c>
      <c r="E15" s="7">
        <f>D15+1</f>
        <v>2</v>
      </c>
      <c r="F15" s="7">
        <f t="shared" ref="F15:H15" si="2">E15+1</f>
        <v>3</v>
      </c>
      <c r="G15" s="7">
        <f t="shared" si="2"/>
        <v>4</v>
      </c>
      <c r="H15" s="7">
        <f t="shared" si="2"/>
        <v>5</v>
      </c>
      <c r="I15" s="7"/>
      <c r="J15" s="7"/>
      <c r="K15" s="7"/>
      <c r="L15" s="6"/>
    </row>
    <row r="16" spans="1:12" x14ac:dyDescent="0.25">
      <c r="C16" s="7" t="s">
        <v>28</v>
      </c>
      <c r="D16" s="19">
        <f>D17+D13</f>
        <v>0.6797385620915033</v>
      </c>
      <c r="E16" s="19">
        <f t="shared" ref="E16:H16" si="3">E17+E13</f>
        <v>0.6797385620915033</v>
      </c>
      <c r="F16" s="19">
        <f t="shared" si="3"/>
        <v>8.470588235294116</v>
      </c>
      <c r="G16" s="19">
        <f t="shared" si="3"/>
        <v>0</v>
      </c>
      <c r="H16" s="19">
        <f t="shared" si="3"/>
        <v>0</v>
      </c>
      <c r="I16" s="19">
        <f>SUM(D16:H16)</f>
        <v>9.830065359477123</v>
      </c>
      <c r="J16" s="20" t="s">
        <v>47</v>
      </c>
      <c r="K16" s="6">
        <f>B7</f>
        <v>8</v>
      </c>
      <c r="L16" s="6"/>
    </row>
    <row r="17" spans="3:14" x14ac:dyDescent="0.25">
      <c r="C17" s="7" t="s">
        <v>29</v>
      </c>
      <c r="D17" s="19">
        <f>D13*D13/(2*(1-D13))</f>
        <v>0.20915032679738563</v>
      </c>
      <c r="E17" s="19">
        <f t="shared" ref="E17:H17" si="4">E13*E13/(2*(1-E13))</f>
        <v>0.20915032679738563</v>
      </c>
      <c r="F17" s="19">
        <f t="shared" si="4"/>
        <v>7.5294117647058805</v>
      </c>
      <c r="G17" s="19">
        <f t="shared" si="4"/>
        <v>0</v>
      </c>
      <c r="H17" s="19">
        <f t="shared" si="4"/>
        <v>0</v>
      </c>
      <c r="I17" s="6"/>
      <c r="J17" s="6"/>
      <c r="K17" s="6"/>
      <c r="L17" s="6"/>
    </row>
    <row r="18" spans="3:14" x14ac:dyDescent="0.25">
      <c r="C18" s="7" t="s">
        <v>30</v>
      </c>
      <c r="D18" s="19">
        <f>D16/$B$10</f>
        <v>1.4444444444444444</v>
      </c>
      <c r="E18" s="19">
        <f>E16/$B$10</f>
        <v>1.4444444444444444</v>
      </c>
      <c r="F18" s="19">
        <f t="shared" ref="F18:H18" si="5">F16/$B$10</f>
        <v>17.999999999999996</v>
      </c>
      <c r="G18" s="19">
        <f t="shared" si="5"/>
        <v>0</v>
      </c>
      <c r="H18" s="19">
        <f t="shared" si="5"/>
        <v>0</v>
      </c>
      <c r="I18" s="19">
        <f>SUM(D18:H18)</f>
        <v>20.888888888888886</v>
      </c>
      <c r="J18" s="20" t="s">
        <v>47</v>
      </c>
      <c r="K18" s="19">
        <f>$A$10</f>
        <v>17</v>
      </c>
      <c r="L18" s="6"/>
      <c r="M18" s="6"/>
      <c r="N18" s="6"/>
    </row>
    <row r="19" spans="3:14" x14ac:dyDescent="0.25">
      <c r="C19" s="7" t="s">
        <v>31</v>
      </c>
      <c r="D19" s="19">
        <f>D17/$B$10</f>
        <v>0.44444444444444448</v>
      </c>
      <c r="E19" s="19">
        <f>E17/$B$10</f>
        <v>0.44444444444444448</v>
      </c>
      <c r="F19" s="19">
        <f t="shared" ref="F19:H19" si="6">F17/$B$10</f>
        <v>15.999999999999996</v>
      </c>
      <c r="G19" s="19">
        <f t="shared" si="6"/>
        <v>0</v>
      </c>
      <c r="H19" s="19">
        <f t="shared" si="6"/>
        <v>0</v>
      </c>
      <c r="I19" s="6"/>
      <c r="J19" s="6"/>
      <c r="K19" s="6"/>
      <c r="L19" s="6"/>
      <c r="M19" s="6"/>
      <c r="N19" s="6"/>
    </row>
    <row r="20" spans="3:14" x14ac:dyDescent="0.25">
      <c r="M20" s="6"/>
      <c r="N20" s="6"/>
    </row>
    <row r="21" spans="3:14" x14ac:dyDescent="0.25">
      <c r="M21" s="6"/>
      <c r="N21" s="6"/>
    </row>
    <row r="22" spans="3:14" x14ac:dyDescent="0.25">
      <c r="M22" s="6"/>
      <c r="N22" s="6"/>
    </row>
    <row r="23" spans="3:14" x14ac:dyDescent="0.25">
      <c r="L23" s="6"/>
      <c r="M23" s="6"/>
      <c r="N23" s="6"/>
    </row>
    <row r="24" spans="3:14" x14ac:dyDescent="0.25">
      <c r="L24" s="6"/>
      <c r="M24" s="6"/>
      <c r="N24" s="6"/>
    </row>
    <row r="25" spans="3:14" x14ac:dyDescent="0.25">
      <c r="L25" s="6"/>
      <c r="M25" s="6"/>
      <c r="N25" s="6"/>
    </row>
    <row r="26" spans="3:14" x14ac:dyDescent="0.25">
      <c r="C26" s="7"/>
      <c r="D26" s="6"/>
      <c r="E26" s="6"/>
      <c r="F26" s="6"/>
      <c r="G26" s="6"/>
      <c r="H26" s="6"/>
      <c r="J26" s="6"/>
      <c r="K26" s="6"/>
      <c r="L26" s="6"/>
      <c r="M26" s="6"/>
      <c r="N26" s="6"/>
    </row>
    <row r="27" spans="3:14" x14ac:dyDescent="0.25">
      <c r="C27" s="7"/>
      <c r="D27" s="21"/>
      <c r="E27" s="6"/>
      <c r="F27" s="6"/>
      <c r="G27" s="6"/>
      <c r="H27" s="6"/>
      <c r="J27" s="6"/>
      <c r="K27" s="6"/>
      <c r="L27" s="6"/>
      <c r="M27" s="6"/>
      <c r="N27" s="6"/>
    </row>
    <row r="28" spans="3:14" x14ac:dyDescent="0.25">
      <c r="C28" s="8"/>
      <c r="D28" s="6"/>
      <c r="E28" s="6"/>
      <c r="F28" s="6"/>
      <c r="G28" s="6"/>
      <c r="H28" s="6"/>
      <c r="J28" s="6"/>
      <c r="K28" s="6"/>
      <c r="L28" s="6"/>
      <c r="M28" s="6"/>
      <c r="N28" s="6"/>
    </row>
    <row r="29" spans="3:14" x14ac:dyDescent="0.25">
      <c r="C29" s="7"/>
      <c r="D29" s="6"/>
      <c r="E29" s="6"/>
      <c r="F29" s="6"/>
      <c r="G29" s="6"/>
      <c r="H29" s="6"/>
      <c r="J29" s="6"/>
      <c r="K29" s="6"/>
      <c r="L29" s="6"/>
      <c r="M29" s="6"/>
      <c r="N29" s="6"/>
    </row>
    <row r="30" spans="3:14" x14ac:dyDescent="0.25">
      <c r="C30" s="7"/>
      <c r="D30" s="6"/>
      <c r="E30" s="6"/>
      <c r="F30" s="6"/>
      <c r="G30" s="6"/>
      <c r="H30" s="6"/>
      <c r="J30" s="6"/>
      <c r="K30" s="6"/>
      <c r="L30" s="6"/>
      <c r="M30" s="6"/>
      <c r="N30" s="6"/>
    </row>
    <row r="31" spans="3:14" x14ac:dyDescent="0.25">
      <c r="C31" s="7"/>
      <c r="D31" s="6"/>
      <c r="E31" s="6"/>
      <c r="F31" s="6"/>
      <c r="G31" s="6"/>
      <c r="H31" s="6"/>
      <c r="J31" s="6"/>
      <c r="K31" s="6"/>
      <c r="L31" s="6"/>
      <c r="M31" s="6"/>
      <c r="N31" s="6"/>
    </row>
  </sheetData>
  <mergeCells count="12">
    <mergeCell ref="G5:G6"/>
    <mergeCell ref="H5:H6"/>
    <mergeCell ref="A2:A4"/>
    <mergeCell ref="B2:B4"/>
    <mergeCell ref="C2:C4"/>
    <mergeCell ref="D2:H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5483-FEAD-4C3B-893C-A36E7C4855B7}">
  <dimension ref="A1:N31"/>
  <sheetViews>
    <sheetView topLeftCell="A4" zoomScale="115" zoomScaleNormal="115" workbookViewId="0">
      <selection activeCell="F18" sqref="F18"/>
    </sheetView>
  </sheetViews>
  <sheetFormatPr defaultRowHeight="15" x14ac:dyDescent="0.25"/>
  <cols>
    <col min="1" max="1" width="9.5703125" bestFit="1" customWidth="1"/>
    <col min="2" max="2" width="15.7109375" customWidth="1"/>
    <col min="3" max="3" width="15" customWidth="1"/>
    <col min="4" max="4" width="13.85546875" customWidth="1"/>
    <col min="5" max="5" width="14" customWidth="1"/>
    <col min="6" max="6" width="12.5703125" customWidth="1"/>
    <col min="7" max="7" width="14" customWidth="1"/>
    <col min="8" max="8" width="20.28515625" customWidth="1"/>
    <col min="9" max="9" width="10.28515625" bestFit="1" customWidth="1"/>
    <col min="11" max="11" width="9" bestFit="1" customWidth="1"/>
  </cols>
  <sheetData>
    <row r="1" spans="1:12" ht="15.75" thickBot="1" x14ac:dyDescent="0.3">
      <c r="A1" s="1" t="s">
        <v>48</v>
      </c>
      <c r="C1" s="1" t="s">
        <v>53</v>
      </c>
      <c r="F1" t="s">
        <v>38</v>
      </c>
    </row>
    <row r="2" spans="1:12" ht="131.25" customHeight="1" x14ac:dyDescent="0.25">
      <c r="A2" s="41" t="s">
        <v>9</v>
      </c>
      <c r="B2" s="61" t="s">
        <v>7</v>
      </c>
      <c r="C2" s="41" t="s">
        <v>8</v>
      </c>
      <c r="D2" s="46" t="s">
        <v>1</v>
      </c>
      <c r="E2" s="47"/>
      <c r="F2" s="47"/>
      <c r="G2" s="47"/>
      <c r="H2" s="48"/>
    </row>
    <row r="3" spans="1:12" x14ac:dyDescent="0.25">
      <c r="A3" s="42"/>
      <c r="B3" s="62"/>
      <c r="C3" s="42"/>
      <c r="D3" s="49"/>
      <c r="E3" s="50"/>
      <c r="F3" s="50"/>
      <c r="G3" s="50"/>
      <c r="H3" s="51"/>
    </row>
    <row r="4" spans="1:12" ht="15.75" thickBot="1" x14ac:dyDescent="0.3">
      <c r="A4" s="42"/>
      <c r="B4" s="62"/>
      <c r="C4" s="42"/>
      <c r="D4" s="49"/>
      <c r="E4" s="50"/>
      <c r="F4" s="50"/>
      <c r="G4" s="50"/>
      <c r="H4" s="51"/>
    </row>
    <row r="5" spans="1:12" ht="18.75" customHeight="1" x14ac:dyDescent="0.25">
      <c r="A5" s="59"/>
      <c r="B5" s="59"/>
      <c r="C5" s="59"/>
      <c r="D5" s="57" t="s">
        <v>2</v>
      </c>
      <c r="E5" s="57" t="s">
        <v>3</v>
      </c>
      <c r="F5" s="57" t="s">
        <v>4</v>
      </c>
      <c r="G5" s="57" t="s">
        <v>39</v>
      </c>
      <c r="H5" s="57" t="s">
        <v>45</v>
      </c>
    </row>
    <row r="6" spans="1:12" ht="15.75" thickBot="1" x14ac:dyDescent="0.3">
      <c r="A6" s="60"/>
      <c r="B6" s="60"/>
      <c r="C6" s="60"/>
      <c r="D6" s="58"/>
      <c r="E6" s="58"/>
      <c r="F6" s="58"/>
      <c r="G6" s="58"/>
      <c r="H6" s="58"/>
    </row>
    <row r="7" spans="1:12" ht="19.5" thickBot="1" x14ac:dyDescent="0.3">
      <c r="A7" s="3" t="s">
        <v>50</v>
      </c>
      <c r="B7" s="4">
        <v>8</v>
      </c>
      <c r="C7" s="5">
        <v>5</v>
      </c>
      <c r="D7" s="5">
        <v>1</v>
      </c>
      <c r="E7" s="5">
        <v>1</v>
      </c>
      <c r="F7" s="5">
        <v>2</v>
      </c>
      <c r="G7" s="4">
        <v>0</v>
      </c>
      <c r="H7" s="4">
        <v>0</v>
      </c>
    </row>
    <row r="9" spans="1:12" ht="18.75" x14ac:dyDescent="0.3">
      <c r="A9" s="7" t="s">
        <v>49</v>
      </c>
      <c r="B9" s="7" t="s">
        <v>36</v>
      </c>
      <c r="C9" s="7" t="s">
        <v>37</v>
      </c>
    </row>
    <row r="10" spans="1:12" ht="15" customHeight="1" x14ac:dyDescent="0.25">
      <c r="A10" s="19">
        <f>$B$7*$C$7/($B$7+$C$7-1)</f>
        <v>3.3333333333333335</v>
      </c>
      <c r="B10" s="19">
        <f>$B$7*D7/D13</f>
        <v>9.6</v>
      </c>
      <c r="C10" s="19">
        <f>$B$7/$B$10</f>
        <v>0.83333333333333337</v>
      </c>
    </row>
    <row r="11" spans="1:12" ht="15" customHeight="1" x14ac:dyDescent="0.25">
      <c r="A11" s="6"/>
      <c r="B11" s="6"/>
    </row>
    <row r="12" spans="1:12" ht="15" customHeight="1" x14ac:dyDescent="0.25">
      <c r="A12" s="6"/>
      <c r="B12" s="6"/>
      <c r="D12" s="7" t="s">
        <v>23</v>
      </c>
      <c r="E12" s="7" t="s">
        <v>24</v>
      </c>
      <c r="F12" s="7" t="s">
        <v>25</v>
      </c>
      <c r="G12" s="7" t="s">
        <v>26</v>
      </c>
      <c r="H12" s="7" t="s">
        <v>27</v>
      </c>
      <c r="I12" s="7"/>
    </row>
    <row r="13" spans="1:12" x14ac:dyDescent="0.25">
      <c r="A13" s="6"/>
      <c r="B13" s="6"/>
      <c r="D13" s="18">
        <f>($A$10*D7)/(SUM($D$7:$H$7))</f>
        <v>0.83333333333333337</v>
      </c>
      <c r="E13" s="18">
        <f t="shared" ref="E13:H13" si="0">($A$10*E7)/(SUM($D$7:$H$7))</f>
        <v>0.83333333333333337</v>
      </c>
      <c r="F13" s="18">
        <f>($A$10*F7)/(SUM($D$7:$H$7))</f>
        <v>1.6666666666666667</v>
      </c>
      <c r="G13" s="18">
        <f>($A$10*G7)/(SUM($D$7:$H$7))</f>
        <v>0</v>
      </c>
      <c r="H13" s="18">
        <f t="shared" si="0"/>
        <v>0</v>
      </c>
      <c r="I13" s="18"/>
    </row>
    <row r="14" spans="1:12" x14ac:dyDescent="0.25">
      <c r="B14" s="6"/>
    </row>
    <row r="15" spans="1:12" x14ac:dyDescent="0.25">
      <c r="C15" s="6"/>
      <c r="D15" s="7">
        <v>1</v>
      </c>
      <c r="E15" s="7">
        <f>D15+1</f>
        <v>2</v>
      </c>
      <c r="F15" s="7">
        <f t="shared" ref="F15:H15" si="1">E15+1</f>
        <v>3</v>
      </c>
      <c r="G15" s="7">
        <f t="shared" si="1"/>
        <v>4</v>
      </c>
      <c r="H15" s="7">
        <f t="shared" si="1"/>
        <v>5</v>
      </c>
      <c r="I15" s="7"/>
      <c r="J15" s="7"/>
      <c r="K15" s="7"/>
      <c r="L15" s="6"/>
    </row>
    <row r="16" spans="1:12" x14ac:dyDescent="0.25">
      <c r="C16" s="7" t="s">
        <v>28</v>
      </c>
      <c r="D16" s="19">
        <f>D17+D13</f>
        <v>2.9166666666666674</v>
      </c>
      <c r="E16" s="19">
        <f t="shared" ref="E16:H16" si="2">E17+E13</f>
        <v>2.9166666666666674</v>
      </c>
      <c r="F16" s="19">
        <f t="shared" si="2"/>
        <v>-0.41666666666666674</v>
      </c>
      <c r="G16" s="19">
        <f t="shared" si="2"/>
        <v>0</v>
      </c>
      <c r="H16" s="19">
        <f t="shared" si="2"/>
        <v>0</v>
      </c>
      <c r="I16" s="19"/>
      <c r="J16" s="20"/>
      <c r="K16" s="6"/>
      <c r="L16" s="6"/>
    </row>
    <row r="17" spans="3:14" x14ac:dyDescent="0.25">
      <c r="C17" s="7" t="s">
        <v>29</v>
      </c>
      <c r="D17" s="19">
        <f>D13*D13/(2*(1-D13))</f>
        <v>2.0833333333333339</v>
      </c>
      <c r="E17" s="19">
        <f t="shared" ref="E17:H17" si="3">E13*E13/(2*(1-E13))</f>
        <v>2.0833333333333339</v>
      </c>
      <c r="F17" s="19">
        <f t="shared" si="3"/>
        <v>-2.0833333333333335</v>
      </c>
      <c r="G17" s="19">
        <f t="shared" si="3"/>
        <v>0</v>
      </c>
      <c r="H17" s="19">
        <f t="shared" si="3"/>
        <v>0</v>
      </c>
      <c r="I17" s="6"/>
      <c r="J17" s="6"/>
      <c r="K17" s="6"/>
      <c r="L17" s="6"/>
    </row>
    <row r="18" spans="3:14" x14ac:dyDescent="0.25">
      <c r="C18" s="7" t="s">
        <v>30</v>
      </c>
      <c r="D18" s="19">
        <f>D16/$C$10</f>
        <v>3.5000000000000009</v>
      </c>
      <c r="E18" s="19">
        <f t="shared" ref="D18:H19" si="4">E16/$C$10</f>
        <v>3.5000000000000009</v>
      </c>
      <c r="F18" s="19">
        <f t="shared" si="4"/>
        <v>-0.50000000000000011</v>
      </c>
      <c r="G18" s="19">
        <f t="shared" si="4"/>
        <v>0</v>
      </c>
      <c r="H18" s="19">
        <f t="shared" si="4"/>
        <v>0</v>
      </c>
      <c r="I18" s="19"/>
      <c r="J18" s="20"/>
      <c r="K18" s="19"/>
      <c r="L18" s="6"/>
      <c r="M18" s="6"/>
      <c r="N18" s="6"/>
    </row>
    <row r="19" spans="3:14" x14ac:dyDescent="0.25">
      <c r="C19" s="7" t="s">
        <v>31</v>
      </c>
      <c r="D19" s="19">
        <f t="shared" si="4"/>
        <v>2.5000000000000004</v>
      </c>
      <c r="E19" s="19">
        <f t="shared" si="4"/>
        <v>2.5000000000000004</v>
      </c>
      <c r="F19" s="19">
        <f t="shared" si="4"/>
        <v>-2.5</v>
      </c>
      <c r="G19" s="19">
        <f t="shared" si="4"/>
        <v>0</v>
      </c>
      <c r="H19" s="19">
        <f t="shared" si="4"/>
        <v>0</v>
      </c>
      <c r="I19" s="6"/>
      <c r="J19" s="6"/>
      <c r="K19" s="6"/>
      <c r="L19" s="6"/>
      <c r="M19" s="6"/>
      <c r="N19" s="6"/>
    </row>
    <row r="20" spans="3:14" x14ac:dyDescent="0.25">
      <c r="M20" s="6"/>
      <c r="N20" s="6"/>
    </row>
    <row r="21" spans="3:14" x14ac:dyDescent="0.25">
      <c r="M21" s="6"/>
      <c r="N21" s="6"/>
    </row>
    <row r="22" spans="3:14" x14ac:dyDescent="0.25">
      <c r="M22" s="6"/>
      <c r="N22" s="6"/>
    </row>
    <row r="23" spans="3:14" x14ac:dyDescent="0.25">
      <c r="L23" s="6"/>
      <c r="M23" s="6"/>
      <c r="N23" s="6"/>
    </row>
    <row r="24" spans="3:14" x14ac:dyDescent="0.25">
      <c r="L24" s="6"/>
      <c r="M24" s="6"/>
      <c r="N24" s="6"/>
    </row>
    <row r="25" spans="3:14" x14ac:dyDescent="0.25">
      <c r="L25" s="6"/>
      <c r="M25" s="6"/>
      <c r="N25" s="6"/>
    </row>
    <row r="26" spans="3:14" x14ac:dyDescent="0.25">
      <c r="C26" s="7"/>
      <c r="D26" s="6"/>
      <c r="E26" s="6"/>
      <c r="F26" s="6"/>
      <c r="G26" s="6"/>
      <c r="H26" s="6"/>
      <c r="J26" s="6"/>
      <c r="K26" s="6"/>
      <c r="L26" s="6"/>
      <c r="M26" s="6"/>
      <c r="N26" s="6"/>
    </row>
    <row r="27" spans="3:14" x14ac:dyDescent="0.25">
      <c r="C27" s="7"/>
      <c r="D27" s="21"/>
      <c r="E27" s="6"/>
      <c r="F27" s="6"/>
      <c r="G27" s="6"/>
      <c r="H27" s="6"/>
      <c r="J27" s="6"/>
      <c r="K27" s="6"/>
      <c r="L27" s="6"/>
      <c r="M27" s="6"/>
      <c r="N27" s="6"/>
    </row>
    <row r="28" spans="3:14" x14ac:dyDescent="0.25">
      <c r="C28" s="8"/>
      <c r="D28" s="6"/>
      <c r="E28" s="6"/>
      <c r="F28" s="6"/>
      <c r="G28" s="6"/>
      <c r="H28" s="6"/>
      <c r="J28" s="6"/>
      <c r="K28" s="6"/>
      <c r="L28" s="6"/>
      <c r="M28" s="6"/>
      <c r="N28" s="6"/>
    </row>
    <row r="29" spans="3:14" x14ac:dyDescent="0.25">
      <c r="C29" s="7"/>
      <c r="D29" s="6"/>
      <c r="E29" s="6"/>
      <c r="F29" s="6"/>
      <c r="G29" s="6"/>
      <c r="H29" s="6"/>
      <c r="J29" s="6"/>
      <c r="K29" s="6"/>
      <c r="L29" s="6"/>
      <c r="M29" s="6"/>
      <c r="N29" s="6"/>
    </row>
    <row r="30" spans="3:14" x14ac:dyDescent="0.25">
      <c r="C30" s="7"/>
      <c r="D30" s="6"/>
      <c r="E30" s="6"/>
      <c r="F30" s="6"/>
      <c r="G30" s="6"/>
      <c r="H30" s="6"/>
      <c r="J30" s="6"/>
      <c r="K30" s="6"/>
      <c r="L30" s="6"/>
      <c r="M30" s="6"/>
      <c r="N30" s="6"/>
    </row>
    <row r="31" spans="3:14" x14ac:dyDescent="0.25">
      <c r="C31" s="7"/>
      <c r="D31" s="6"/>
      <c r="E31" s="6"/>
      <c r="F31" s="6"/>
      <c r="G31" s="6"/>
      <c r="H31" s="6"/>
      <c r="J31" s="6"/>
      <c r="K31" s="6"/>
      <c r="L31" s="6"/>
      <c r="M31" s="6"/>
      <c r="N31" s="6"/>
    </row>
  </sheetData>
  <mergeCells count="12">
    <mergeCell ref="G5:G6"/>
    <mergeCell ref="H5:H6"/>
    <mergeCell ref="A2:A4"/>
    <mergeCell ref="B2:B4"/>
    <mergeCell ref="C2:C4"/>
    <mergeCell ref="D2:H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43BE-2720-467F-A79A-9371C67103BA}">
  <dimension ref="A1:N31"/>
  <sheetViews>
    <sheetView zoomScale="79" workbookViewId="0">
      <selection activeCell="D13" sqref="D13"/>
    </sheetView>
  </sheetViews>
  <sheetFormatPr defaultRowHeight="15" x14ac:dyDescent="0.25"/>
  <cols>
    <col min="1" max="1" width="16.42578125" customWidth="1"/>
    <col min="2" max="2" width="15.7109375" customWidth="1"/>
    <col min="3" max="3" width="15" customWidth="1"/>
    <col min="4" max="4" width="13.85546875" customWidth="1"/>
    <col min="5" max="5" width="14" customWidth="1"/>
    <col min="6" max="6" width="12.5703125" customWidth="1"/>
    <col min="7" max="7" width="14" customWidth="1"/>
    <col min="8" max="8" width="20.28515625" customWidth="1"/>
    <col min="9" max="9" width="10.28515625" bestFit="1" customWidth="1"/>
    <col min="11" max="11" width="9" bestFit="1" customWidth="1"/>
  </cols>
  <sheetData>
    <row r="1" spans="1:12" ht="15.75" thickBot="1" x14ac:dyDescent="0.3">
      <c r="A1" s="22" t="s">
        <v>54</v>
      </c>
      <c r="C1" t="s">
        <v>62</v>
      </c>
    </row>
    <row r="2" spans="1:12" ht="131.25" customHeight="1" x14ac:dyDescent="0.25">
      <c r="A2" s="41" t="s">
        <v>9</v>
      </c>
      <c r="B2" s="61" t="s">
        <v>7</v>
      </c>
      <c r="C2" s="41" t="s">
        <v>8</v>
      </c>
      <c r="D2" s="46" t="s">
        <v>1</v>
      </c>
      <c r="E2" s="47"/>
      <c r="F2" s="47"/>
      <c r="G2" s="47"/>
      <c r="H2" s="48"/>
    </row>
    <row r="3" spans="1:12" x14ac:dyDescent="0.25">
      <c r="A3" s="42"/>
      <c r="B3" s="62"/>
      <c r="C3" s="42"/>
      <c r="D3" s="49"/>
      <c r="E3" s="50"/>
      <c r="F3" s="50"/>
      <c r="G3" s="50"/>
      <c r="H3" s="51"/>
    </row>
    <row r="4" spans="1:12" ht="15.75" thickBot="1" x14ac:dyDescent="0.3">
      <c r="A4" s="42"/>
      <c r="B4" s="62"/>
      <c r="C4" s="42"/>
      <c r="D4" s="49"/>
      <c r="E4" s="50"/>
      <c r="F4" s="50"/>
      <c r="G4" s="50"/>
      <c r="H4" s="51"/>
    </row>
    <row r="5" spans="1:12" x14ac:dyDescent="0.25">
      <c r="A5" s="59"/>
      <c r="B5" s="59"/>
      <c r="C5" s="59"/>
      <c r="D5" s="57" t="s">
        <v>2</v>
      </c>
      <c r="E5" s="57" t="s">
        <v>3</v>
      </c>
      <c r="F5" s="57" t="s">
        <v>4</v>
      </c>
      <c r="G5" s="57" t="s">
        <v>39</v>
      </c>
      <c r="H5" s="57" t="s">
        <v>45</v>
      </c>
    </row>
    <row r="6" spans="1:12" ht="15.75" thickBot="1" x14ac:dyDescent="0.3">
      <c r="A6" s="60"/>
      <c r="B6" s="60"/>
      <c r="C6" s="60"/>
      <c r="D6" s="58"/>
      <c r="E6" s="58"/>
      <c r="F6" s="58"/>
      <c r="G6" s="58"/>
      <c r="H6" s="58"/>
    </row>
    <row r="7" spans="1:12" ht="19.5" thickBot="1" x14ac:dyDescent="0.3">
      <c r="A7" s="3" t="s">
        <v>50</v>
      </c>
      <c r="B7" s="4">
        <v>8</v>
      </c>
      <c r="C7" s="5">
        <v>5</v>
      </c>
      <c r="D7" s="5">
        <v>1</v>
      </c>
      <c r="E7" s="5">
        <v>1</v>
      </c>
      <c r="F7" s="5">
        <v>2</v>
      </c>
      <c r="G7" s="4">
        <v>0</v>
      </c>
      <c r="H7" s="4">
        <v>0</v>
      </c>
    </row>
    <row r="9" spans="1:12" x14ac:dyDescent="0.25">
      <c r="A9" s="7"/>
      <c r="B9" s="7"/>
      <c r="C9" s="7"/>
    </row>
    <row r="10" spans="1:12" ht="15" customHeight="1" x14ac:dyDescent="0.25">
      <c r="A10" s="63" t="s">
        <v>55</v>
      </c>
      <c r="B10" s="63" t="s">
        <v>56</v>
      </c>
      <c r="C10" s="63"/>
      <c r="D10" s="63"/>
      <c r="E10" s="63"/>
      <c r="F10" s="63"/>
      <c r="G10" s="63"/>
    </row>
    <row r="11" spans="1:12" ht="15" customHeight="1" x14ac:dyDescent="0.25">
      <c r="A11" s="63"/>
      <c r="B11" s="23"/>
      <c r="C11" s="23"/>
      <c r="D11" s="23"/>
      <c r="E11" s="23"/>
      <c r="F11" s="23"/>
      <c r="G11" s="24" t="s">
        <v>57</v>
      </c>
    </row>
    <row r="12" spans="1:12" ht="15" customHeight="1" x14ac:dyDescent="0.25">
      <c r="A12" s="25" t="s">
        <v>58</v>
      </c>
      <c r="B12" s="25">
        <f ca="1">'5.1'!D34</f>
        <v>0.49555774925962487</v>
      </c>
      <c r="C12" s="25">
        <f ca="1">'5.1'!E34</f>
        <v>0.49555774925962487</v>
      </c>
      <c r="D12" s="25">
        <f ca="1">'5.1'!F34</f>
        <v>0.99111549851924974</v>
      </c>
      <c r="E12" s="25">
        <f ca="1">'5.1'!G34</f>
        <v>0</v>
      </c>
      <c r="F12" s="25">
        <f ca="1">'5.1'!H34</f>
        <v>0</v>
      </c>
      <c r="G12" s="25">
        <f ca="1">'5.1'!D43</f>
        <v>16.143426294820717</v>
      </c>
      <c r="I12" s="7"/>
    </row>
    <row r="13" spans="1:12" x14ac:dyDescent="0.25">
      <c r="A13" s="25" t="s">
        <v>59</v>
      </c>
      <c r="B13" s="25">
        <f>'5.2'!D13</f>
        <v>0.47058823529411764</v>
      </c>
      <c r="C13" s="25">
        <f>'5.2'!E13</f>
        <v>0.47058823529411764</v>
      </c>
      <c r="D13" s="25">
        <f>'5.2'!F13</f>
        <v>0.94117647058823528</v>
      </c>
      <c r="E13" s="25">
        <f>'5.2'!G13</f>
        <v>0</v>
      </c>
      <c r="F13" s="25">
        <f>'5.2'!H13</f>
        <v>0</v>
      </c>
      <c r="G13" s="25">
        <f>'5.2'!A10</f>
        <v>17</v>
      </c>
      <c r="I13" s="18"/>
    </row>
    <row r="14" spans="1:12" x14ac:dyDescent="0.25">
      <c r="A14" s="25" t="s">
        <v>60</v>
      </c>
      <c r="B14" s="25">
        <f>'5.3'!D13</f>
        <v>0.83333333333333337</v>
      </c>
      <c r="C14" s="25">
        <f>'5.3'!E13</f>
        <v>0.83333333333333337</v>
      </c>
      <c r="D14" s="25">
        <f>'5.3'!F13</f>
        <v>1.6666666666666667</v>
      </c>
      <c r="E14" s="25">
        <f>'5.3'!G13</f>
        <v>0</v>
      </c>
      <c r="F14" s="25">
        <f>'5.3'!H13</f>
        <v>0</v>
      </c>
      <c r="G14" s="25">
        <f>'5.3'!B10</f>
        <v>9.6</v>
      </c>
    </row>
    <row r="15" spans="1:12" x14ac:dyDescent="0.25">
      <c r="I15" s="7"/>
      <c r="J15" s="7"/>
      <c r="K15" s="7"/>
      <c r="L15" s="6"/>
    </row>
    <row r="16" spans="1:12" x14ac:dyDescent="0.25">
      <c r="B16" s="64" t="s">
        <v>63</v>
      </c>
      <c r="C16" s="64"/>
      <c r="D16" s="64"/>
      <c r="E16" s="64"/>
      <c r="F16" s="64"/>
      <c r="G16" s="64"/>
      <c r="H16" s="19"/>
      <c r="I16" s="19"/>
      <c r="J16" s="20"/>
      <c r="K16" s="6"/>
      <c r="L16" s="6"/>
    </row>
    <row r="17" spans="1:14" ht="18.75" x14ac:dyDescent="0.25">
      <c r="A17" s="6" t="s">
        <v>65</v>
      </c>
      <c r="B17" s="23"/>
      <c r="C17" s="23"/>
      <c r="D17" s="23"/>
      <c r="E17" s="23"/>
      <c r="F17" s="23"/>
      <c r="G17" s="24" t="s">
        <v>57</v>
      </c>
      <c r="H17" s="19"/>
      <c r="I17" s="6"/>
      <c r="J17" s="6"/>
      <c r="K17" s="6"/>
      <c r="L17" s="6"/>
    </row>
    <row r="18" spans="1:14" x14ac:dyDescent="0.25">
      <c r="B18" s="25">
        <f t="shared" ref="B18:G18" ca="1" si="0">(ABS(B13-B12)/B12)*100</f>
        <v>5.0386688539957811</v>
      </c>
      <c r="C18" s="25">
        <f t="shared" ca="1" si="0"/>
        <v>5.0386688539957811</v>
      </c>
      <c r="D18" s="25">
        <f t="shared" ca="1" si="0"/>
        <v>5.0386688539957811</v>
      </c>
      <c r="E18" s="25" t="e">
        <f t="shared" ca="1" si="0"/>
        <v>#DIV/0!</v>
      </c>
      <c r="F18" s="25" t="e">
        <f t="shared" ca="1" si="0"/>
        <v>#DIV/0!</v>
      </c>
      <c r="G18" s="25">
        <f t="shared" ca="1" si="0"/>
        <v>5.3060217176702871</v>
      </c>
      <c r="H18" s="19"/>
      <c r="I18" s="19"/>
      <c r="J18" s="20"/>
      <c r="K18" s="19"/>
      <c r="L18" s="6"/>
      <c r="M18" s="6"/>
      <c r="N18" s="6"/>
    </row>
    <row r="19" spans="1:14" x14ac:dyDescent="0.25">
      <c r="H19" s="19"/>
      <c r="I19" s="6"/>
      <c r="J19" s="6"/>
      <c r="K19" s="6"/>
      <c r="L19" s="6"/>
      <c r="M19" s="6"/>
      <c r="N19" s="6"/>
    </row>
    <row r="20" spans="1:14" x14ac:dyDescent="0.25">
      <c r="B20" s="64" t="s">
        <v>64</v>
      </c>
      <c r="C20" s="64"/>
      <c r="D20" s="64"/>
      <c r="E20" s="64"/>
      <c r="F20" s="64"/>
      <c r="G20" s="64"/>
      <c r="M20" s="6"/>
      <c r="N20" s="6"/>
    </row>
    <row r="21" spans="1:14" ht="18.75" x14ac:dyDescent="0.25">
      <c r="A21" s="6" t="s">
        <v>65</v>
      </c>
      <c r="B21" s="23"/>
      <c r="C21" s="23"/>
      <c r="D21" s="23"/>
      <c r="E21" s="23"/>
      <c r="F21" s="23"/>
      <c r="G21" s="24" t="s">
        <v>57</v>
      </c>
      <c r="M21" s="6"/>
      <c r="N21" s="6"/>
    </row>
    <row r="22" spans="1:14" x14ac:dyDescent="0.25">
      <c r="B22" s="25">
        <f ca="1">(ABS(B14-B12)/B12)*100</f>
        <v>68.160690571049145</v>
      </c>
      <c r="C22" s="25">
        <f t="shared" ref="C22:G22" ca="1" si="1">(ABS(C14-C12)/C12)*100</f>
        <v>68.160690571049145</v>
      </c>
      <c r="D22" s="25">
        <f t="shared" ca="1" si="1"/>
        <v>68.160690571049145</v>
      </c>
      <c r="E22" s="25" t="e">
        <f t="shared" ca="1" si="1"/>
        <v>#DIV/0!</v>
      </c>
      <c r="F22" s="25" t="e">
        <f t="shared" ca="1" si="1"/>
        <v>#DIV/0!</v>
      </c>
      <c r="G22" s="25">
        <f t="shared" ca="1" si="1"/>
        <v>40.533070088845022</v>
      </c>
      <c r="M22" s="6"/>
      <c r="N22" s="6"/>
    </row>
    <row r="23" spans="1:14" x14ac:dyDescent="0.25">
      <c r="L23" s="6"/>
      <c r="M23" s="6"/>
      <c r="N23" s="6"/>
    </row>
    <row r="24" spans="1:14" x14ac:dyDescent="0.25">
      <c r="L24" s="6"/>
      <c r="M24" s="6"/>
      <c r="N24" s="6"/>
    </row>
    <row r="25" spans="1:14" x14ac:dyDescent="0.25">
      <c r="L25" s="6"/>
      <c r="M25" s="6"/>
      <c r="N25" s="6"/>
    </row>
    <row r="26" spans="1:14" x14ac:dyDescent="0.25">
      <c r="H26" s="6"/>
      <c r="J26" s="6"/>
      <c r="K26" s="6"/>
      <c r="L26" s="6"/>
      <c r="M26" s="6"/>
      <c r="N26" s="6"/>
    </row>
    <row r="27" spans="1:14" x14ac:dyDescent="0.25">
      <c r="H27" s="6"/>
      <c r="J27" s="6"/>
      <c r="K27" s="6"/>
      <c r="L27" s="6"/>
      <c r="M27" s="6"/>
      <c r="N27" s="6"/>
    </row>
    <row r="28" spans="1:14" x14ac:dyDescent="0.25">
      <c r="H28" s="6"/>
      <c r="J28" s="6"/>
      <c r="K28" s="6"/>
      <c r="L28" s="6"/>
      <c r="M28" s="6"/>
      <c r="N28" s="6"/>
    </row>
    <row r="29" spans="1:14" x14ac:dyDescent="0.25">
      <c r="H29" s="6"/>
      <c r="J29" s="6"/>
      <c r="K29" s="6"/>
      <c r="L29" s="6"/>
      <c r="M29" s="6"/>
      <c r="N29" s="6"/>
    </row>
    <row r="30" spans="1:14" x14ac:dyDescent="0.25">
      <c r="H30" s="6"/>
      <c r="J30" s="6"/>
      <c r="K30" s="6"/>
      <c r="L30" s="6"/>
      <c r="M30" s="6"/>
      <c r="N30" s="6"/>
    </row>
    <row r="31" spans="1:14" x14ac:dyDescent="0.25">
      <c r="H31" s="6"/>
      <c r="J31" s="6"/>
      <c r="K31" s="6"/>
      <c r="L31" s="6"/>
      <c r="M31" s="6"/>
      <c r="N31" s="6"/>
    </row>
  </sheetData>
  <mergeCells count="16">
    <mergeCell ref="A10:A11"/>
    <mergeCell ref="B10:G10"/>
    <mergeCell ref="B20:G20"/>
    <mergeCell ref="B16:G16"/>
    <mergeCell ref="D2:H4"/>
    <mergeCell ref="A5:A6"/>
    <mergeCell ref="B5:B6"/>
    <mergeCell ref="C5:C6"/>
    <mergeCell ref="D5:D6"/>
    <mergeCell ref="E5:E6"/>
    <mergeCell ref="F5:F6"/>
    <mergeCell ref="G5:G6"/>
    <mergeCell ref="H5:H6"/>
    <mergeCell ref="A2:A4"/>
    <mergeCell ref="B2:B4"/>
    <mergeCell ref="C2:C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9C5D9-E052-4678-9923-1DE4F32FB127}">
  <dimension ref="A1:N56"/>
  <sheetViews>
    <sheetView zoomScale="59" workbookViewId="0">
      <selection activeCell="D21" sqref="D21"/>
    </sheetView>
  </sheetViews>
  <sheetFormatPr defaultRowHeight="15" x14ac:dyDescent="0.25"/>
  <cols>
    <col min="2" max="2" width="12.7109375" customWidth="1"/>
    <col min="3" max="3" width="14.140625" customWidth="1"/>
    <col min="4" max="4" width="13.5703125" customWidth="1"/>
    <col min="5" max="5" width="15.7109375" customWidth="1"/>
    <col min="6" max="6" width="14.42578125" customWidth="1"/>
    <col min="7" max="7" width="12.7109375" customWidth="1"/>
    <col min="8" max="8" width="16.42578125" customWidth="1"/>
  </cols>
  <sheetData>
    <row r="1" spans="1:14" ht="15.75" thickBot="1" x14ac:dyDescent="0.3">
      <c r="A1" s="1" t="s">
        <v>61</v>
      </c>
    </row>
    <row r="2" spans="1:14" ht="75" customHeight="1" x14ac:dyDescent="0.25">
      <c r="A2" s="41" t="s">
        <v>9</v>
      </c>
      <c r="B2" s="41" t="s">
        <v>10</v>
      </c>
      <c r="C2" s="41" t="s">
        <v>11</v>
      </c>
      <c r="D2" s="46" t="s">
        <v>1</v>
      </c>
      <c r="E2" s="47"/>
      <c r="F2" s="47"/>
      <c r="G2" s="47"/>
      <c r="H2" s="48"/>
    </row>
    <row r="3" spans="1:14" x14ac:dyDescent="0.25">
      <c r="A3" s="42"/>
      <c r="B3" s="42"/>
      <c r="C3" s="42"/>
      <c r="D3" s="49"/>
      <c r="E3" s="50"/>
      <c r="F3" s="50"/>
      <c r="G3" s="50"/>
      <c r="H3" s="51"/>
    </row>
    <row r="4" spans="1:14" ht="15.75" thickBot="1" x14ac:dyDescent="0.3">
      <c r="A4" s="43"/>
      <c r="B4" s="43"/>
      <c r="C4" s="43"/>
      <c r="D4" s="52"/>
      <c r="E4" s="53"/>
      <c r="F4" s="53"/>
      <c r="G4" s="53"/>
      <c r="H4" s="54"/>
    </row>
    <row r="5" spans="1:14" x14ac:dyDescent="0.25">
      <c r="A5" s="41"/>
      <c r="B5" s="55"/>
      <c r="C5" s="41"/>
      <c r="D5" s="41" t="s">
        <v>2</v>
      </c>
      <c r="E5" s="41" t="s">
        <v>3</v>
      </c>
      <c r="F5" s="41" t="s">
        <v>4</v>
      </c>
      <c r="G5" s="41" t="s">
        <v>5</v>
      </c>
      <c r="H5" s="41" t="s">
        <v>6</v>
      </c>
    </row>
    <row r="6" spans="1:14" ht="15.75" thickBot="1" x14ac:dyDescent="0.3">
      <c r="A6" s="43"/>
      <c r="B6" s="56"/>
      <c r="C6" s="43"/>
      <c r="D6" s="43"/>
      <c r="E6" s="43"/>
      <c r="F6" s="43"/>
      <c r="G6" s="43"/>
      <c r="H6" s="43"/>
    </row>
    <row r="7" spans="1:14" ht="19.5" thickBot="1" x14ac:dyDescent="0.3">
      <c r="A7" s="3" t="s">
        <v>50</v>
      </c>
      <c r="B7" s="4">
        <v>8</v>
      </c>
      <c r="C7" s="5">
        <v>5</v>
      </c>
      <c r="D7" s="5">
        <v>1</v>
      </c>
      <c r="E7" s="5">
        <v>1</v>
      </c>
      <c r="F7" s="5">
        <v>2</v>
      </c>
      <c r="G7" s="4">
        <v>0</v>
      </c>
      <c r="H7" s="4">
        <v>0</v>
      </c>
    </row>
    <row r="9" spans="1:14" x14ac:dyDescent="0.25">
      <c r="A9" s="6"/>
      <c r="B9" s="6"/>
      <c r="C9" s="6"/>
      <c r="D9" s="6"/>
      <c r="E9" s="7" t="s">
        <v>17</v>
      </c>
      <c r="F9" s="7" t="s">
        <v>18</v>
      </c>
      <c r="G9" s="7" t="s">
        <v>19</v>
      </c>
      <c r="H9" s="7" t="s">
        <v>20</v>
      </c>
    </row>
    <row r="10" spans="1:14" x14ac:dyDescent="0.25">
      <c r="A10" s="6"/>
      <c r="B10" s="6"/>
      <c r="C10" s="6"/>
      <c r="D10" s="6"/>
      <c r="E10" s="6">
        <v>1</v>
      </c>
      <c r="F10" s="6">
        <v>1</v>
      </c>
      <c r="G10" s="6">
        <v>1</v>
      </c>
      <c r="H10" s="6">
        <v>1</v>
      </c>
    </row>
    <row r="11" spans="1:14" x14ac:dyDescent="0.25">
      <c r="A11" s="6"/>
      <c r="B11" s="6"/>
      <c r="C11" s="6"/>
      <c r="D11" s="7" t="s">
        <v>12</v>
      </c>
      <c r="E11" s="7" t="s">
        <v>13</v>
      </c>
      <c r="F11" s="7" t="s">
        <v>14</v>
      </c>
      <c r="G11" s="7" t="s">
        <v>15</v>
      </c>
      <c r="H11" s="7" t="s">
        <v>16</v>
      </c>
    </row>
    <row r="12" spans="1:14" x14ac:dyDescent="0.25">
      <c r="A12" s="6"/>
      <c r="B12" s="6"/>
      <c r="C12" s="6"/>
      <c r="D12" s="6">
        <v>1</v>
      </c>
      <c r="E12" s="6">
        <f>$D$12*(E7/$D$7)*E10</f>
        <v>1</v>
      </c>
      <c r="F12" s="6">
        <f t="shared" ref="F12:H12" si="0">$D$12*(F7/$D$7)*F10</f>
        <v>2</v>
      </c>
      <c r="G12" s="6">
        <f t="shared" si="0"/>
        <v>0</v>
      </c>
      <c r="H12" s="6">
        <f t="shared" si="0"/>
        <v>0</v>
      </c>
    </row>
    <row r="13" spans="1:14" x14ac:dyDescent="0.25">
      <c r="A13" s="6"/>
      <c r="B13" s="6"/>
      <c r="C13" s="6"/>
      <c r="D13" s="6"/>
      <c r="E13" s="6"/>
      <c r="F13" s="6"/>
      <c r="G13" s="6"/>
      <c r="H13" s="6"/>
    </row>
    <row r="14" spans="1:14" ht="18.75" x14ac:dyDescent="0.3">
      <c r="B14" s="6"/>
      <c r="C14" s="2" t="s">
        <v>21</v>
      </c>
      <c r="D14" s="6"/>
      <c r="E14" s="6"/>
      <c r="F14" s="6"/>
      <c r="G14" s="6"/>
      <c r="H14" s="6"/>
      <c r="J14" s="45" t="s">
        <v>33</v>
      </c>
      <c r="K14" s="45"/>
      <c r="L14" s="45"/>
      <c r="M14" s="45"/>
      <c r="N14" s="45"/>
    </row>
    <row r="15" spans="1:14" ht="15.75" thickBot="1" x14ac:dyDescent="0.3">
      <c r="C15" s="7" t="s">
        <v>22</v>
      </c>
      <c r="D15" s="7">
        <v>1</v>
      </c>
      <c r="E15" s="7">
        <f>D15+1</f>
        <v>2</v>
      </c>
      <c r="F15" s="7">
        <f t="shared" ref="F15:H15" si="1">E15+1</f>
        <v>3</v>
      </c>
      <c r="G15" s="7">
        <f t="shared" si="1"/>
        <v>4</v>
      </c>
      <c r="H15" s="7">
        <f t="shared" si="1"/>
        <v>5</v>
      </c>
      <c r="J15" s="1">
        <v>1</v>
      </c>
      <c r="K15" s="1">
        <v>2</v>
      </c>
      <c r="L15" s="1">
        <v>3</v>
      </c>
      <c r="M15" s="1">
        <v>4</v>
      </c>
      <c r="N15" s="1">
        <v>5</v>
      </c>
    </row>
    <row r="16" spans="1:14" x14ac:dyDescent="0.25">
      <c r="C16" s="7">
        <v>0</v>
      </c>
      <c r="D16" s="26">
        <v>1</v>
      </c>
      <c r="E16" s="27">
        <f>D16</f>
        <v>1</v>
      </c>
      <c r="F16" s="28">
        <f t="shared" ref="F16:H16" si="2">E16</f>
        <v>1</v>
      </c>
      <c r="G16" s="11">
        <f t="shared" si="2"/>
        <v>1</v>
      </c>
      <c r="H16" s="12">
        <f t="shared" si="2"/>
        <v>1</v>
      </c>
    </row>
    <row r="17" spans="1:14" x14ac:dyDescent="0.25">
      <c r="C17" s="7">
        <v>1</v>
      </c>
      <c r="D17" s="29">
        <v>1</v>
      </c>
      <c r="E17" s="6">
        <f>D17+E16*E$12</f>
        <v>2</v>
      </c>
      <c r="F17" s="30">
        <f t="shared" ref="F17:H31" si="3">E17+F16*F$12</f>
        <v>4</v>
      </c>
      <c r="G17" s="6">
        <f>F17+G16*G$12</f>
        <v>4</v>
      </c>
      <c r="H17" s="14">
        <f t="shared" si="3"/>
        <v>4</v>
      </c>
      <c r="J17" s="10">
        <f ca="1">(D$12^$C17)*INDIRECT(ADDRESS(16+$B$7-$C17,8))</f>
        <v>502</v>
      </c>
      <c r="K17" s="11">
        <f t="shared" ref="K17:N31" ca="1" si="4">(E$12^$C17)*INDIRECT(ADDRESS(16+$B$7-$C17,8))</f>
        <v>502</v>
      </c>
      <c r="L17" s="11">
        <f t="shared" ca="1" si="4"/>
        <v>1004</v>
      </c>
      <c r="M17" s="11">
        <f t="shared" ca="1" si="4"/>
        <v>0</v>
      </c>
      <c r="N17" s="12">
        <f t="shared" ca="1" si="4"/>
        <v>0</v>
      </c>
    </row>
    <row r="18" spans="1:14" x14ac:dyDescent="0.25">
      <c r="C18" s="7">
        <f>C17+1</f>
        <v>2</v>
      </c>
      <c r="D18" s="29">
        <f>D16</f>
        <v>1</v>
      </c>
      <c r="E18" s="6">
        <f t="shared" ref="E18:E31" si="5">D18+E17*E$12</f>
        <v>3</v>
      </c>
      <c r="F18" s="30">
        <f t="shared" si="3"/>
        <v>11</v>
      </c>
      <c r="G18" s="6">
        <f t="shared" si="3"/>
        <v>11</v>
      </c>
      <c r="H18" s="14">
        <f t="shared" si="3"/>
        <v>11</v>
      </c>
      <c r="J18" s="13">
        <f t="shared" ref="J18:J31" ca="1" si="6">(D$12^$C18)*INDIRECT(ADDRESS(16+$B$7-$C18,8))</f>
        <v>247</v>
      </c>
      <c r="K18" s="6">
        <f t="shared" ca="1" si="4"/>
        <v>247</v>
      </c>
      <c r="L18" s="6">
        <f t="shared" ca="1" si="4"/>
        <v>988</v>
      </c>
      <c r="M18" s="6">
        <f t="shared" ca="1" si="4"/>
        <v>0</v>
      </c>
      <c r="N18" s="14">
        <f t="shared" ca="1" si="4"/>
        <v>0</v>
      </c>
    </row>
    <row r="19" spans="1:14" x14ac:dyDescent="0.25">
      <c r="C19" s="7">
        <f t="shared" ref="C19:C31" si="7">C18+1</f>
        <v>3</v>
      </c>
      <c r="D19" s="29">
        <f t="shared" ref="D19:D31" si="8">D18</f>
        <v>1</v>
      </c>
      <c r="E19" s="6">
        <f t="shared" si="5"/>
        <v>4</v>
      </c>
      <c r="F19" s="30">
        <f t="shared" si="3"/>
        <v>26</v>
      </c>
      <c r="G19" s="6">
        <f t="shared" si="3"/>
        <v>26</v>
      </c>
      <c r="H19" s="14">
        <f t="shared" si="3"/>
        <v>26</v>
      </c>
      <c r="J19" s="13">
        <f t="shared" ca="1" si="6"/>
        <v>120</v>
      </c>
      <c r="K19" s="6">
        <f t="shared" ca="1" si="4"/>
        <v>120</v>
      </c>
      <c r="L19" s="6">
        <f t="shared" ca="1" si="4"/>
        <v>960</v>
      </c>
      <c r="M19" s="6">
        <f t="shared" ca="1" si="4"/>
        <v>0</v>
      </c>
      <c r="N19" s="14">
        <f t="shared" ca="1" si="4"/>
        <v>0</v>
      </c>
    </row>
    <row r="20" spans="1:14" x14ac:dyDescent="0.25">
      <c r="C20" s="7">
        <f t="shared" si="7"/>
        <v>4</v>
      </c>
      <c r="D20" s="29">
        <f t="shared" si="8"/>
        <v>1</v>
      </c>
      <c r="E20" s="6">
        <f t="shared" si="5"/>
        <v>5</v>
      </c>
      <c r="F20" s="30">
        <f t="shared" si="3"/>
        <v>57</v>
      </c>
      <c r="G20" s="6">
        <f t="shared" si="3"/>
        <v>57</v>
      </c>
      <c r="H20" s="14">
        <f t="shared" si="3"/>
        <v>57</v>
      </c>
      <c r="J20" s="13">
        <f t="shared" ca="1" si="6"/>
        <v>57</v>
      </c>
      <c r="K20" s="6">
        <f t="shared" ca="1" si="4"/>
        <v>57</v>
      </c>
      <c r="L20" s="6">
        <f t="shared" ca="1" si="4"/>
        <v>912</v>
      </c>
      <c r="M20" s="6">
        <f t="shared" ca="1" si="4"/>
        <v>0</v>
      </c>
      <c r="N20" s="14">
        <f t="shared" ca="1" si="4"/>
        <v>0</v>
      </c>
    </row>
    <row r="21" spans="1:14" x14ac:dyDescent="0.25">
      <c r="C21" s="7">
        <f t="shared" si="7"/>
        <v>5</v>
      </c>
      <c r="D21" s="29">
        <f t="shared" si="8"/>
        <v>1</v>
      </c>
      <c r="E21" s="6">
        <f t="shared" si="5"/>
        <v>6</v>
      </c>
      <c r="F21" s="30">
        <f t="shared" si="3"/>
        <v>120</v>
      </c>
      <c r="G21" s="6">
        <f t="shared" si="3"/>
        <v>120</v>
      </c>
      <c r="H21" s="14">
        <f t="shared" si="3"/>
        <v>120</v>
      </c>
      <c r="J21" s="13">
        <f t="shared" ca="1" si="6"/>
        <v>26</v>
      </c>
      <c r="K21" s="6">
        <f t="shared" ca="1" si="4"/>
        <v>26</v>
      </c>
      <c r="L21" s="6">
        <f t="shared" ca="1" si="4"/>
        <v>832</v>
      </c>
      <c r="M21" s="6">
        <f t="shared" ca="1" si="4"/>
        <v>0</v>
      </c>
      <c r="N21" s="14">
        <f t="shared" ca="1" si="4"/>
        <v>0</v>
      </c>
    </row>
    <row r="22" spans="1:14" x14ac:dyDescent="0.25">
      <c r="C22" s="7">
        <f t="shared" si="7"/>
        <v>6</v>
      </c>
      <c r="D22" s="29">
        <f t="shared" si="8"/>
        <v>1</v>
      </c>
      <c r="E22" s="6">
        <f t="shared" si="5"/>
        <v>7</v>
      </c>
      <c r="F22" s="30">
        <f t="shared" si="3"/>
        <v>247</v>
      </c>
      <c r="G22" s="6">
        <f t="shared" si="3"/>
        <v>247</v>
      </c>
      <c r="H22" s="14">
        <f>G22+H21*H$12</f>
        <v>247</v>
      </c>
      <c r="J22" s="13">
        <f t="shared" ca="1" si="6"/>
        <v>11</v>
      </c>
      <c r="K22" s="6">
        <f t="shared" ca="1" si="4"/>
        <v>11</v>
      </c>
      <c r="L22" s="6">
        <f t="shared" ca="1" si="4"/>
        <v>704</v>
      </c>
      <c r="M22" s="6">
        <f t="shared" ca="1" si="4"/>
        <v>0</v>
      </c>
      <c r="N22" s="14">
        <f t="shared" ca="1" si="4"/>
        <v>0</v>
      </c>
    </row>
    <row r="23" spans="1:14" x14ac:dyDescent="0.25">
      <c r="C23" s="7">
        <f t="shared" si="7"/>
        <v>7</v>
      </c>
      <c r="D23" s="29">
        <f t="shared" si="8"/>
        <v>1</v>
      </c>
      <c r="E23" s="6">
        <f t="shared" si="5"/>
        <v>8</v>
      </c>
      <c r="F23" s="30">
        <f t="shared" si="3"/>
        <v>502</v>
      </c>
      <c r="G23" s="6">
        <f t="shared" si="3"/>
        <v>502</v>
      </c>
      <c r="H23" s="14">
        <f t="shared" si="3"/>
        <v>502</v>
      </c>
      <c r="J23" s="13">
        <f t="shared" ca="1" si="6"/>
        <v>4</v>
      </c>
      <c r="K23" s="6">
        <f t="shared" ca="1" si="4"/>
        <v>4</v>
      </c>
      <c r="L23" s="6">
        <f t="shared" ca="1" si="4"/>
        <v>512</v>
      </c>
      <c r="M23" s="6">
        <f t="shared" ca="1" si="4"/>
        <v>0</v>
      </c>
      <c r="N23" s="14">
        <f t="shared" ca="1" si="4"/>
        <v>0</v>
      </c>
    </row>
    <row r="24" spans="1:14" x14ac:dyDescent="0.25">
      <c r="A24" s="44" t="s">
        <v>32</v>
      </c>
      <c r="B24" s="44"/>
      <c r="C24" s="7">
        <f t="shared" si="7"/>
        <v>8</v>
      </c>
      <c r="D24" s="39">
        <f t="shared" si="8"/>
        <v>1</v>
      </c>
      <c r="E24" s="16">
        <f t="shared" si="5"/>
        <v>9</v>
      </c>
      <c r="F24" s="40">
        <f t="shared" si="3"/>
        <v>1013</v>
      </c>
      <c r="G24" s="16">
        <f t="shared" si="3"/>
        <v>1013</v>
      </c>
      <c r="H24" s="17">
        <f t="shared" si="3"/>
        <v>1013</v>
      </c>
      <c r="J24" s="15">
        <f t="shared" ca="1" si="6"/>
        <v>1</v>
      </c>
      <c r="K24" s="16">
        <f t="shared" ca="1" si="4"/>
        <v>1</v>
      </c>
      <c r="L24" s="16">
        <f t="shared" ca="1" si="4"/>
        <v>256</v>
      </c>
      <c r="M24" s="16">
        <f t="shared" ca="1" si="4"/>
        <v>0</v>
      </c>
      <c r="N24" s="17">
        <f t="shared" ca="1" si="4"/>
        <v>0</v>
      </c>
    </row>
    <row r="25" spans="1:14" x14ac:dyDescent="0.25">
      <c r="A25" s="44"/>
      <c r="B25" s="44"/>
      <c r="C25" s="7">
        <f t="shared" si="7"/>
        <v>9</v>
      </c>
      <c r="D25" s="29">
        <f t="shared" si="8"/>
        <v>1</v>
      </c>
      <c r="E25" s="6">
        <f t="shared" si="5"/>
        <v>10</v>
      </c>
      <c r="F25" s="30">
        <f t="shared" si="3"/>
        <v>2036</v>
      </c>
      <c r="G25" s="6">
        <f t="shared" si="3"/>
        <v>2036</v>
      </c>
      <c r="H25" s="6">
        <f t="shared" si="3"/>
        <v>2036</v>
      </c>
      <c r="J25" s="6">
        <f t="shared" ca="1" si="6"/>
        <v>5</v>
      </c>
      <c r="K25" s="6">
        <f t="shared" ca="1" si="4"/>
        <v>5</v>
      </c>
      <c r="L25" s="6">
        <f t="shared" ca="1" si="4"/>
        <v>2560</v>
      </c>
      <c r="M25" s="6">
        <f t="shared" ca="1" si="4"/>
        <v>0</v>
      </c>
      <c r="N25" s="6">
        <f t="shared" ca="1" si="4"/>
        <v>0</v>
      </c>
    </row>
    <row r="26" spans="1:14" ht="15" customHeight="1" x14ac:dyDescent="0.25">
      <c r="A26" s="44"/>
      <c r="B26" s="44"/>
      <c r="C26" s="9">
        <f t="shared" si="7"/>
        <v>10</v>
      </c>
      <c r="D26" s="29">
        <f t="shared" si="8"/>
        <v>1</v>
      </c>
      <c r="E26" s="6">
        <f t="shared" si="5"/>
        <v>11</v>
      </c>
      <c r="F26" s="30">
        <f t="shared" si="3"/>
        <v>4083</v>
      </c>
      <c r="G26" s="6">
        <f t="shared" si="3"/>
        <v>4083</v>
      </c>
      <c r="H26" s="6">
        <f>G26+H25*H$12</f>
        <v>4083</v>
      </c>
      <c r="J26" s="6">
        <f t="shared" ca="1" si="6"/>
        <v>0</v>
      </c>
      <c r="K26" s="6">
        <f t="shared" ca="1" si="4"/>
        <v>0</v>
      </c>
      <c r="L26" s="6">
        <f t="shared" ca="1" si="4"/>
        <v>0</v>
      </c>
      <c r="M26" s="6">
        <f t="shared" ca="1" si="4"/>
        <v>0</v>
      </c>
      <c r="N26" s="6">
        <f t="shared" ca="1" si="4"/>
        <v>0</v>
      </c>
    </row>
    <row r="27" spans="1:14" x14ac:dyDescent="0.25">
      <c r="C27" s="8">
        <f t="shared" si="7"/>
        <v>11</v>
      </c>
      <c r="D27" s="29">
        <f t="shared" si="8"/>
        <v>1</v>
      </c>
      <c r="E27" s="6">
        <f t="shared" si="5"/>
        <v>12</v>
      </c>
      <c r="F27" s="30">
        <f t="shared" si="3"/>
        <v>8178</v>
      </c>
      <c r="G27" s="6">
        <f t="shared" si="3"/>
        <v>8178</v>
      </c>
      <c r="H27" s="6">
        <f t="shared" si="3"/>
        <v>8178</v>
      </c>
      <c r="J27" s="6">
        <f t="shared" ca="1" si="6"/>
        <v>0</v>
      </c>
      <c r="K27" s="6">
        <f t="shared" ca="1" si="4"/>
        <v>0</v>
      </c>
      <c r="L27" s="6">
        <f t="shared" ca="1" si="4"/>
        <v>0</v>
      </c>
      <c r="M27" s="6">
        <f t="shared" ca="1" si="4"/>
        <v>0</v>
      </c>
      <c r="N27" s="6">
        <f t="shared" ca="1" si="4"/>
        <v>0</v>
      </c>
    </row>
    <row r="28" spans="1:14" ht="15.75" thickBot="1" x14ac:dyDescent="0.3">
      <c r="C28" s="8">
        <f t="shared" si="7"/>
        <v>12</v>
      </c>
      <c r="D28" s="31">
        <f t="shared" si="8"/>
        <v>1</v>
      </c>
      <c r="E28" s="32">
        <f t="shared" si="5"/>
        <v>13</v>
      </c>
      <c r="F28" s="33">
        <f t="shared" si="3"/>
        <v>16369</v>
      </c>
      <c r="G28" s="6">
        <f t="shared" si="3"/>
        <v>16369</v>
      </c>
      <c r="H28" s="6">
        <f t="shared" si="3"/>
        <v>16369</v>
      </c>
      <c r="J28" s="6">
        <f t="shared" ca="1" si="6"/>
        <v>0</v>
      </c>
      <c r="K28" s="6">
        <f t="shared" ca="1" si="4"/>
        <v>0</v>
      </c>
      <c r="L28" s="6">
        <f t="shared" ca="1" si="4"/>
        <v>0</v>
      </c>
      <c r="M28" s="6">
        <f t="shared" ca="1" si="4"/>
        <v>0</v>
      </c>
      <c r="N28" s="6">
        <f t="shared" ca="1" si="4"/>
        <v>0</v>
      </c>
    </row>
    <row r="29" spans="1:14" x14ac:dyDescent="0.25">
      <c r="C29" s="8">
        <f t="shared" si="7"/>
        <v>13</v>
      </c>
      <c r="D29" s="6">
        <f t="shared" si="8"/>
        <v>1</v>
      </c>
      <c r="E29" s="6">
        <f t="shared" si="5"/>
        <v>14</v>
      </c>
      <c r="F29" s="6">
        <f t="shared" si="3"/>
        <v>32752</v>
      </c>
      <c r="G29" s="6">
        <f t="shared" si="3"/>
        <v>32752</v>
      </c>
      <c r="H29" s="6">
        <f t="shared" si="3"/>
        <v>32752</v>
      </c>
      <c r="J29" s="6" t="e">
        <f t="shared" ca="1" si="6"/>
        <v>#VALUE!</v>
      </c>
      <c r="K29" s="6" t="e">
        <f t="shared" ca="1" si="4"/>
        <v>#VALUE!</v>
      </c>
      <c r="L29" s="6" t="e">
        <f t="shared" ca="1" si="4"/>
        <v>#VALUE!</v>
      </c>
      <c r="M29" s="6" t="e">
        <f t="shared" ca="1" si="4"/>
        <v>#VALUE!</v>
      </c>
      <c r="N29" s="6" t="e">
        <f t="shared" ca="1" si="4"/>
        <v>#VALUE!</v>
      </c>
    </row>
    <row r="30" spans="1:14" x14ac:dyDescent="0.25">
      <c r="C30" s="8">
        <f t="shared" si="7"/>
        <v>14</v>
      </c>
      <c r="D30" s="6">
        <f t="shared" si="8"/>
        <v>1</v>
      </c>
      <c r="E30" s="6">
        <f t="shared" si="5"/>
        <v>15</v>
      </c>
      <c r="F30" s="6">
        <f t="shared" si="3"/>
        <v>65519</v>
      </c>
      <c r="G30" s="6">
        <f t="shared" si="3"/>
        <v>65519</v>
      </c>
      <c r="H30" s="6">
        <f t="shared" si="3"/>
        <v>65519</v>
      </c>
      <c r="J30" s="6">
        <f t="shared" ca="1" si="6"/>
        <v>1</v>
      </c>
      <c r="K30" s="6">
        <f t="shared" ca="1" si="4"/>
        <v>1</v>
      </c>
      <c r="L30" s="6">
        <f t="shared" ca="1" si="4"/>
        <v>16384</v>
      </c>
      <c r="M30" s="6">
        <f t="shared" ca="1" si="4"/>
        <v>0</v>
      </c>
      <c r="N30" s="6">
        <f t="shared" ca="1" si="4"/>
        <v>0</v>
      </c>
    </row>
    <row r="31" spans="1:14" x14ac:dyDescent="0.25">
      <c r="C31" s="8">
        <f t="shared" si="7"/>
        <v>15</v>
      </c>
      <c r="D31" s="6">
        <f t="shared" si="8"/>
        <v>1</v>
      </c>
      <c r="E31" s="6">
        <f t="shared" si="5"/>
        <v>16</v>
      </c>
      <c r="F31" s="6">
        <f t="shared" si="3"/>
        <v>131054</v>
      </c>
      <c r="G31" s="6">
        <f t="shared" si="3"/>
        <v>131054</v>
      </c>
      <c r="H31" s="6">
        <f t="shared" si="3"/>
        <v>131054</v>
      </c>
      <c r="J31" s="6" t="e">
        <f t="shared" ca="1" si="6"/>
        <v>#VALUE!</v>
      </c>
      <c r="K31" s="6" t="e">
        <f t="shared" ca="1" si="4"/>
        <v>#VALUE!</v>
      </c>
      <c r="L31" s="6" t="e">
        <f t="shared" ca="1" si="4"/>
        <v>#VALUE!</v>
      </c>
      <c r="M31" s="6" t="e">
        <f t="shared" ca="1" si="4"/>
        <v>#VALUE!</v>
      </c>
      <c r="N31" s="6" t="e">
        <f t="shared" ca="1" si="4"/>
        <v>#VALUE!</v>
      </c>
    </row>
    <row r="33" spans="1:11" x14ac:dyDescent="0.25">
      <c r="D33" s="7" t="s">
        <v>23</v>
      </c>
      <c r="E33" s="7" t="s">
        <v>24</v>
      </c>
      <c r="F33" s="7" t="s">
        <v>25</v>
      </c>
      <c r="G33" s="7" t="s">
        <v>26</v>
      </c>
      <c r="H33" s="7" t="s">
        <v>27</v>
      </c>
    </row>
    <row r="34" spans="1:11" x14ac:dyDescent="0.25">
      <c r="D34" s="18">
        <f ca="1">INDIRECT(ADDRESS(15+$B$7,8))/INDIRECT(ADDRESS(16+$B$7,8))</f>
        <v>0.49555774925962487</v>
      </c>
      <c r="E34" s="18">
        <f ca="1">$D$34*E12</f>
        <v>0.49555774925962487</v>
      </c>
      <c r="F34" s="18">
        <f t="shared" ref="F34:H34" ca="1" si="9">$D$34*F12</f>
        <v>0.99111549851924974</v>
      </c>
      <c r="G34" s="18">
        <f t="shared" ca="1" si="9"/>
        <v>0</v>
      </c>
      <c r="H34" s="18">
        <f t="shared" ca="1" si="9"/>
        <v>0</v>
      </c>
    </row>
    <row r="36" spans="1:11" x14ac:dyDescent="0.25">
      <c r="C36" s="6"/>
      <c r="D36" s="7">
        <v>1</v>
      </c>
      <c r="E36" s="7">
        <f>D36+1</f>
        <v>2</v>
      </c>
      <c r="F36" s="7">
        <f t="shared" ref="F36:H36" si="10">E36+1</f>
        <v>3</v>
      </c>
      <c r="G36" s="7">
        <f t="shared" si="10"/>
        <v>4</v>
      </c>
      <c r="H36" s="7">
        <f t="shared" si="10"/>
        <v>5</v>
      </c>
      <c r="I36" s="45" t="s">
        <v>34</v>
      </c>
      <c r="J36" s="45"/>
      <c r="K36" s="45"/>
    </row>
    <row r="37" spans="1:11" x14ac:dyDescent="0.25">
      <c r="C37" s="7" t="s">
        <v>28</v>
      </c>
      <c r="D37" s="19">
        <f ca="1">SUM(J17:INDIRECT(ADDRESS(16+$B$7,9+D$36)))/INDIRECT(ADDRESS(16+$B$7,8))</f>
        <v>0.9555774925962488</v>
      </c>
      <c r="E37" s="19">
        <f ca="1">SUM(K17:INDIRECT(ADDRESS(16+$B$7,9+E$36)))/INDIRECT(ADDRESS(16+$B$7,8))</f>
        <v>0.9555774925962488</v>
      </c>
      <c r="F37" s="19">
        <f ca="1">SUM(L17:INDIRECT(ADDRESS(16+$B$7,9+F$36)))/INDIRECT(ADDRESS(16+$B$7,8))</f>
        <v>6.0888450148075028</v>
      </c>
      <c r="G37" s="19">
        <f ca="1">SUM(M17:INDIRECT(ADDRESS(16+$B$7,9+G$36)))/INDIRECT(ADDRESS(16+$B$7,8))</f>
        <v>0</v>
      </c>
      <c r="H37" s="19">
        <f ca="1">SUM(N17:INDIRECT(ADDRESS(16+$B$7,9+H$36)))/INDIRECT(ADDRESS(16+$B$7,8))</f>
        <v>0</v>
      </c>
      <c r="I37" s="19">
        <f ca="1">SUM(D37:H37)</f>
        <v>8</v>
      </c>
      <c r="J37" s="20" t="s">
        <v>35</v>
      </c>
      <c r="K37" s="6">
        <f>B7</f>
        <v>8</v>
      </c>
    </row>
    <row r="38" spans="1:11" x14ac:dyDescent="0.25">
      <c r="C38" s="7" t="s">
        <v>29</v>
      </c>
      <c r="D38" s="19">
        <f ca="1">D37-D34</f>
        <v>0.46001974333662393</v>
      </c>
      <c r="E38" s="19">
        <f t="shared" ref="E38:H38" ca="1" si="11">E37-E34</f>
        <v>0.46001974333662393</v>
      </c>
      <c r="F38" s="19">
        <f t="shared" ca="1" si="11"/>
        <v>5.0977295162882532</v>
      </c>
      <c r="G38" s="19">
        <f t="shared" ca="1" si="11"/>
        <v>0</v>
      </c>
      <c r="H38" s="19">
        <f t="shared" ca="1" si="11"/>
        <v>0</v>
      </c>
      <c r="I38" s="6"/>
      <c r="J38" s="6"/>
      <c r="K38" s="6"/>
    </row>
    <row r="39" spans="1:11" x14ac:dyDescent="0.25">
      <c r="C39" s="7" t="s">
        <v>30</v>
      </c>
      <c r="D39" s="19">
        <f ca="1">$D$43*D37/$B$7</f>
        <v>1.9282868525896415</v>
      </c>
      <c r="E39" s="19">
        <f t="shared" ref="E39:H39" ca="1" si="12">$D$43*E37/$B$7</f>
        <v>1.9282868525896415</v>
      </c>
      <c r="F39" s="19">
        <f t="shared" ca="1" si="12"/>
        <v>12.286852589641436</v>
      </c>
      <c r="G39" s="19">
        <f t="shared" ca="1" si="12"/>
        <v>0</v>
      </c>
      <c r="H39" s="19">
        <f t="shared" ca="1" si="12"/>
        <v>0</v>
      </c>
      <c r="I39" s="19">
        <f ca="1">SUM(D39:H39)</f>
        <v>16.143426294820721</v>
      </c>
      <c r="J39" s="20" t="s">
        <v>35</v>
      </c>
      <c r="K39" s="19">
        <f ca="1">$D$43</f>
        <v>16.143426294820717</v>
      </c>
    </row>
    <row r="40" spans="1:11" x14ac:dyDescent="0.25">
      <c r="C40" s="7" t="s">
        <v>31</v>
      </c>
      <c r="D40" s="19">
        <f ca="1">D39-D7</f>
        <v>0.9282868525896415</v>
      </c>
      <c r="E40" s="19">
        <f t="shared" ref="E40:H40" ca="1" si="13">E39-E7</f>
        <v>0.9282868525896415</v>
      </c>
      <c r="F40" s="19">
        <f t="shared" ca="1" si="13"/>
        <v>10.286852589641436</v>
      </c>
      <c r="G40" s="19">
        <f t="shared" ca="1" si="13"/>
        <v>0</v>
      </c>
      <c r="H40" s="19">
        <f t="shared" ca="1" si="13"/>
        <v>0</v>
      </c>
      <c r="I40" s="6"/>
      <c r="J40" s="6"/>
      <c r="K40" s="6"/>
    </row>
    <row r="42" spans="1:11" x14ac:dyDescent="0.25">
      <c r="D42" s="7" t="s">
        <v>36</v>
      </c>
      <c r="E42" s="7" t="s">
        <v>37</v>
      </c>
    </row>
    <row r="43" spans="1:11" x14ac:dyDescent="0.25">
      <c r="D43" s="19">
        <f ca="1">B7*D7/D34</f>
        <v>16.143426294820717</v>
      </c>
      <c r="E43" s="19">
        <f ca="1">B7/D43</f>
        <v>0.49555774925962487</v>
      </c>
    </row>
    <row r="46" spans="1:11" x14ac:dyDescent="0.25">
      <c r="A46" s="7"/>
      <c r="B46" s="7"/>
    </row>
    <row r="47" spans="1:11" x14ac:dyDescent="0.25">
      <c r="A47" s="19"/>
      <c r="B47" s="19"/>
    </row>
    <row r="48" spans="1:11" x14ac:dyDescent="0.25">
      <c r="A48" s="6"/>
      <c r="B48" s="6"/>
    </row>
    <row r="49" spans="1:11" x14ac:dyDescent="0.25">
      <c r="A49" s="6"/>
      <c r="B49" s="6"/>
      <c r="D49" s="7"/>
      <c r="E49" s="7"/>
      <c r="F49" s="7"/>
      <c r="G49" s="7"/>
      <c r="H49" s="7"/>
      <c r="I49" s="7"/>
    </row>
    <row r="50" spans="1:11" x14ac:dyDescent="0.25">
      <c r="A50" s="6"/>
      <c r="B50" s="6"/>
      <c r="D50" s="18"/>
      <c r="E50" s="18"/>
      <c r="F50" s="18"/>
      <c r="G50" s="18"/>
      <c r="H50" s="18"/>
      <c r="I50" s="18"/>
    </row>
    <row r="51" spans="1:11" x14ac:dyDescent="0.25">
      <c r="B51" s="6"/>
    </row>
    <row r="52" spans="1:11" x14ac:dyDescent="0.25">
      <c r="C52" s="6"/>
      <c r="D52" s="7"/>
      <c r="E52" s="7"/>
      <c r="F52" s="7"/>
      <c r="G52" s="7"/>
      <c r="H52" s="7"/>
      <c r="I52" s="7"/>
      <c r="J52" s="7"/>
      <c r="K52" s="7"/>
    </row>
    <row r="53" spans="1:11" x14ac:dyDescent="0.25">
      <c r="C53" s="7"/>
      <c r="D53" s="19"/>
      <c r="E53" s="19"/>
      <c r="F53" s="19"/>
      <c r="G53" s="19"/>
      <c r="H53" s="19"/>
      <c r="I53" s="19"/>
      <c r="J53" s="20"/>
      <c r="K53" s="6"/>
    </row>
    <row r="54" spans="1:11" x14ac:dyDescent="0.25">
      <c r="C54" s="7"/>
      <c r="D54" s="19"/>
      <c r="E54" s="19"/>
      <c r="F54" s="19"/>
      <c r="G54" s="19"/>
      <c r="H54" s="19"/>
      <c r="I54" s="6"/>
      <c r="J54" s="6"/>
      <c r="K54" s="6"/>
    </row>
    <row r="55" spans="1:11" x14ac:dyDescent="0.25">
      <c r="C55" s="7"/>
      <c r="D55" s="19"/>
      <c r="E55" s="19"/>
      <c r="F55" s="19"/>
      <c r="G55" s="19"/>
      <c r="H55" s="19"/>
      <c r="I55" s="19"/>
      <c r="J55" s="20"/>
      <c r="K55" s="19"/>
    </row>
    <row r="56" spans="1:11" x14ac:dyDescent="0.25">
      <c r="C56" s="7"/>
      <c r="D56" s="19"/>
      <c r="E56" s="19"/>
      <c r="F56" s="19"/>
      <c r="G56" s="19"/>
      <c r="H56" s="19"/>
      <c r="I56" s="6"/>
      <c r="J56" s="6"/>
      <c r="K56" s="6"/>
    </row>
  </sheetData>
  <mergeCells count="15">
    <mergeCell ref="J14:N14"/>
    <mergeCell ref="A24:B26"/>
    <mergeCell ref="I36:K36"/>
    <mergeCell ref="A2:A4"/>
    <mergeCell ref="B2:B4"/>
    <mergeCell ref="C2:C4"/>
    <mergeCell ref="D2:H4"/>
    <mergeCell ref="A5:A6"/>
    <mergeCell ref="B5:B6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F4EF9-F127-4F02-81D3-D4CADDEED0D7}">
  <dimension ref="A1:N31"/>
  <sheetViews>
    <sheetView zoomScale="70" zoomScaleNormal="70" workbookViewId="0">
      <selection activeCell="A7" sqref="A7:H7"/>
    </sheetView>
  </sheetViews>
  <sheetFormatPr defaultRowHeight="15" x14ac:dyDescent="0.25"/>
  <cols>
    <col min="1" max="1" width="9" bestFit="1" customWidth="1"/>
    <col min="2" max="2" width="15.7109375" customWidth="1"/>
    <col min="3" max="3" width="15" customWidth="1"/>
    <col min="4" max="4" width="13.85546875" customWidth="1"/>
    <col min="5" max="5" width="14" customWidth="1"/>
    <col min="6" max="6" width="12.5703125" customWidth="1"/>
    <col min="7" max="7" width="14" customWidth="1"/>
    <col min="8" max="8" width="20.28515625" customWidth="1"/>
    <col min="9" max="9" width="10.28515625" bestFit="1" customWidth="1"/>
    <col min="11" max="11" width="9" bestFit="1" customWidth="1"/>
  </cols>
  <sheetData>
    <row r="1" spans="1:12" ht="15.75" thickBot="1" x14ac:dyDescent="0.3">
      <c r="A1" s="1" t="s">
        <v>52</v>
      </c>
    </row>
    <row r="2" spans="1:12" ht="131.25" customHeight="1" x14ac:dyDescent="0.25">
      <c r="A2" s="41" t="s">
        <v>9</v>
      </c>
      <c r="B2" s="61" t="s">
        <v>7</v>
      </c>
      <c r="C2" s="41" t="s">
        <v>8</v>
      </c>
      <c r="D2" s="46" t="s">
        <v>1</v>
      </c>
      <c r="E2" s="47"/>
      <c r="F2" s="47"/>
      <c r="G2" s="47"/>
      <c r="H2" s="48"/>
    </row>
    <row r="3" spans="1:12" x14ac:dyDescent="0.25">
      <c r="A3" s="42"/>
      <c r="B3" s="62"/>
      <c r="C3" s="42"/>
      <c r="D3" s="49"/>
      <c r="E3" s="50"/>
      <c r="F3" s="50"/>
      <c r="G3" s="50"/>
      <c r="H3" s="51"/>
    </row>
    <row r="4" spans="1:12" ht="15.75" thickBot="1" x14ac:dyDescent="0.3">
      <c r="A4" s="42"/>
      <c r="B4" s="62"/>
      <c r="C4" s="42"/>
      <c r="D4" s="49"/>
      <c r="E4" s="50"/>
      <c r="F4" s="50"/>
      <c r="G4" s="50"/>
      <c r="H4" s="51"/>
    </row>
    <row r="5" spans="1:12" ht="18.75" customHeight="1" x14ac:dyDescent="0.25">
      <c r="A5" s="59"/>
      <c r="B5" s="59"/>
      <c r="C5" s="59"/>
      <c r="D5" s="57" t="s">
        <v>2</v>
      </c>
      <c r="E5" s="57" t="s">
        <v>3</v>
      </c>
      <c r="F5" s="57" t="s">
        <v>4</v>
      </c>
      <c r="G5" s="57" t="s">
        <v>39</v>
      </c>
      <c r="H5" s="57" t="s">
        <v>45</v>
      </c>
    </row>
    <row r="6" spans="1:12" ht="15.75" thickBot="1" x14ac:dyDescent="0.3">
      <c r="A6" s="60"/>
      <c r="B6" s="60"/>
      <c r="C6" s="60"/>
      <c r="D6" s="58"/>
      <c r="E6" s="58"/>
      <c r="F6" s="58"/>
      <c r="G6" s="58"/>
      <c r="H6" s="58"/>
    </row>
    <row r="7" spans="1:12" ht="19.5" thickBot="1" x14ac:dyDescent="0.3">
      <c r="A7" s="3" t="str">
        <f>'Задача 5 (К)'!A7</f>
        <v>B5</v>
      </c>
      <c r="B7" s="3">
        <f>'Задача 5 (К)'!B7</f>
        <v>8</v>
      </c>
      <c r="C7" s="3">
        <f>'Задача 5 (К)'!C7</f>
        <v>5</v>
      </c>
      <c r="D7" s="3">
        <f>'Задача 5 (К)'!D7</f>
        <v>1</v>
      </c>
      <c r="E7" s="3">
        <f>'Задача 5 (К)'!E7</f>
        <v>1</v>
      </c>
      <c r="F7" s="3">
        <f>'Задача 5 (К)'!F7</f>
        <v>2</v>
      </c>
      <c r="G7" s="3">
        <f>'Задача 5 (К)'!G7</f>
        <v>0</v>
      </c>
      <c r="H7" s="3">
        <f>'Задача 5 (К)'!H7</f>
        <v>0</v>
      </c>
    </row>
    <row r="9" spans="1:12" x14ac:dyDescent="0.25">
      <c r="A9" s="7" t="s">
        <v>36</v>
      </c>
      <c r="B9" s="7" t="s">
        <v>37</v>
      </c>
    </row>
    <row r="10" spans="1:12" ht="15" customHeight="1" x14ac:dyDescent="0.25">
      <c r="A10" s="19">
        <f>$B$7*MAX($D$7:$H$7)+SUM($D$10:$H$10)-MAX($D$7:$H$7)</f>
        <v>17</v>
      </c>
      <c r="B10" s="19">
        <f>$B$7/A10</f>
        <v>0.47058823529411764</v>
      </c>
      <c r="D10">
        <f>D$7*D$7/MAX($D$7:$H$7)</f>
        <v>0.5</v>
      </c>
      <c r="E10">
        <f t="shared" ref="E10:H10" si="0">E$7*E$7/MAX($D$7:$H$7)</f>
        <v>0.5</v>
      </c>
      <c r="F10">
        <f t="shared" si="0"/>
        <v>2</v>
      </c>
      <c r="G10">
        <f t="shared" si="0"/>
        <v>0</v>
      </c>
      <c r="H10">
        <f t="shared" si="0"/>
        <v>0</v>
      </c>
      <c r="I10" t="s">
        <v>46</v>
      </c>
    </row>
    <row r="11" spans="1:12" ht="15" customHeight="1" x14ac:dyDescent="0.25">
      <c r="A11" s="6"/>
      <c r="B11" s="6"/>
    </row>
    <row r="12" spans="1:12" ht="15" customHeight="1" x14ac:dyDescent="0.25">
      <c r="A12" s="6"/>
      <c r="B12" s="6"/>
      <c r="D12" s="7" t="s">
        <v>23</v>
      </c>
      <c r="E12" s="7" t="s">
        <v>24</v>
      </c>
      <c r="F12" s="7" t="s">
        <v>25</v>
      </c>
      <c r="G12" s="7" t="s">
        <v>26</v>
      </c>
      <c r="H12" s="7" t="s">
        <v>27</v>
      </c>
      <c r="I12" s="7"/>
    </row>
    <row r="13" spans="1:12" x14ac:dyDescent="0.25">
      <c r="A13" s="6"/>
      <c r="B13" s="6"/>
      <c r="D13" s="18">
        <f>$B$7*D$7/$A$10</f>
        <v>0.47058823529411764</v>
      </c>
      <c r="E13" s="18">
        <f t="shared" ref="E13:H13" si="1">$B$7*E$7/$A$10</f>
        <v>0.47058823529411764</v>
      </c>
      <c r="F13" s="18">
        <f t="shared" si="1"/>
        <v>0.94117647058823528</v>
      </c>
      <c r="G13" s="18">
        <f t="shared" si="1"/>
        <v>0</v>
      </c>
      <c r="H13" s="18">
        <f t="shared" si="1"/>
        <v>0</v>
      </c>
      <c r="I13" s="18"/>
    </row>
    <row r="14" spans="1:12" x14ac:dyDescent="0.25">
      <c r="B14" s="6"/>
    </row>
    <row r="15" spans="1:12" x14ac:dyDescent="0.25">
      <c r="C15" s="6"/>
      <c r="D15" s="7">
        <v>1</v>
      </c>
      <c r="E15" s="7">
        <f>D15+1</f>
        <v>2</v>
      </c>
      <c r="F15" s="7">
        <f t="shared" ref="F15:H15" si="2">E15+1</f>
        <v>3</v>
      </c>
      <c r="G15" s="7">
        <f t="shared" si="2"/>
        <v>4</v>
      </c>
      <c r="H15" s="7">
        <f t="shared" si="2"/>
        <v>5</v>
      </c>
      <c r="I15" s="7"/>
      <c r="J15" s="7"/>
      <c r="K15" s="7"/>
      <c r="L15" s="6"/>
    </row>
    <row r="16" spans="1:12" x14ac:dyDescent="0.25">
      <c r="C16" s="7" t="s">
        <v>28</v>
      </c>
      <c r="D16" s="19">
        <f>D17+D13</f>
        <v>0.6797385620915033</v>
      </c>
      <c r="E16" s="19">
        <f t="shared" ref="E16:H16" si="3">E17+E13</f>
        <v>0.6797385620915033</v>
      </c>
      <c r="F16" s="19">
        <f t="shared" si="3"/>
        <v>8.470588235294116</v>
      </c>
      <c r="G16" s="19">
        <f t="shared" si="3"/>
        <v>0</v>
      </c>
      <c r="H16" s="19">
        <f t="shared" si="3"/>
        <v>0</v>
      </c>
      <c r="I16" s="19">
        <f>SUM(D16:H16)</f>
        <v>9.830065359477123</v>
      </c>
      <c r="J16" s="20" t="s">
        <v>47</v>
      </c>
      <c r="K16" s="6">
        <f>B7</f>
        <v>8</v>
      </c>
      <c r="L16" s="6"/>
    </row>
    <row r="17" spans="3:14" x14ac:dyDescent="0.25">
      <c r="C17" s="7" t="s">
        <v>29</v>
      </c>
      <c r="D17" s="19">
        <f>D13*D13/(2*(1-D13))</f>
        <v>0.20915032679738563</v>
      </c>
      <c r="E17" s="19">
        <f t="shared" ref="E17:H17" si="4">E13*E13/(2*(1-E13))</f>
        <v>0.20915032679738563</v>
      </c>
      <c r="F17" s="19">
        <f t="shared" si="4"/>
        <v>7.5294117647058805</v>
      </c>
      <c r="G17" s="19">
        <f t="shared" si="4"/>
        <v>0</v>
      </c>
      <c r="H17" s="19">
        <f t="shared" si="4"/>
        <v>0</v>
      </c>
      <c r="I17" s="6"/>
      <c r="J17" s="6"/>
      <c r="K17" s="6"/>
      <c r="L17" s="6"/>
    </row>
    <row r="18" spans="3:14" x14ac:dyDescent="0.25">
      <c r="C18" s="7" t="s">
        <v>30</v>
      </c>
      <c r="D18" s="19">
        <f>D16/$B$10</f>
        <v>1.4444444444444444</v>
      </c>
      <c r="E18" s="19">
        <f>E16/$B$10</f>
        <v>1.4444444444444444</v>
      </c>
      <c r="F18" s="19">
        <f t="shared" ref="F18:H19" si="5">F16/$B$10</f>
        <v>17.999999999999996</v>
      </c>
      <c r="G18" s="19">
        <f t="shared" si="5"/>
        <v>0</v>
      </c>
      <c r="H18" s="19">
        <f t="shared" si="5"/>
        <v>0</v>
      </c>
      <c r="I18" s="19">
        <f>SUM(D18:H18)</f>
        <v>20.888888888888886</v>
      </c>
      <c r="J18" s="20" t="s">
        <v>47</v>
      </c>
      <c r="K18" s="19">
        <f>$A$10</f>
        <v>17</v>
      </c>
      <c r="L18" s="6"/>
      <c r="M18" s="6"/>
      <c r="N18" s="6"/>
    </row>
    <row r="19" spans="3:14" x14ac:dyDescent="0.25">
      <c r="C19" s="7" t="s">
        <v>31</v>
      </c>
      <c r="D19" s="19">
        <f>D17/$B$10</f>
        <v>0.44444444444444448</v>
      </c>
      <c r="E19" s="19">
        <f>E17/$B$10</f>
        <v>0.44444444444444448</v>
      </c>
      <c r="F19" s="19">
        <f t="shared" si="5"/>
        <v>15.999999999999996</v>
      </c>
      <c r="G19" s="19">
        <f t="shared" si="5"/>
        <v>0</v>
      </c>
      <c r="H19" s="19">
        <f t="shared" si="5"/>
        <v>0</v>
      </c>
      <c r="I19" s="6"/>
      <c r="J19" s="6"/>
      <c r="K19" s="6"/>
      <c r="L19" s="6"/>
      <c r="M19" s="6"/>
      <c r="N19" s="6"/>
    </row>
    <row r="20" spans="3:14" x14ac:dyDescent="0.25">
      <c r="M20" s="6"/>
      <c r="N20" s="6"/>
    </row>
    <row r="21" spans="3:14" x14ac:dyDescent="0.25">
      <c r="M21" s="6"/>
      <c r="N21" s="6"/>
    </row>
    <row r="22" spans="3:14" x14ac:dyDescent="0.25">
      <c r="M22" s="6"/>
      <c r="N22" s="6"/>
    </row>
    <row r="23" spans="3:14" x14ac:dyDescent="0.25">
      <c r="L23" s="6"/>
      <c r="M23" s="6"/>
      <c r="N23" s="6"/>
    </row>
    <row r="24" spans="3:14" x14ac:dyDescent="0.25">
      <c r="L24" s="6"/>
      <c r="M24" s="6"/>
      <c r="N24" s="6"/>
    </row>
    <row r="25" spans="3:14" x14ac:dyDescent="0.25">
      <c r="L25" s="6"/>
      <c r="M25" s="6"/>
      <c r="N25" s="6"/>
    </row>
    <row r="26" spans="3:14" x14ac:dyDescent="0.25">
      <c r="C26" s="7"/>
      <c r="D26" s="6"/>
      <c r="E26" s="6"/>
      <c r="F26" s="6"/>
      <c r="G26" s="6"/>
      <c r="H26" s="6"/>
      <c r="J26" s="6"/>
      <c r="K26" s="6"/>
      <c r="L26" s="6"/>
      <c r="M26" s="6"/>
      <c r="N26" s="6"/>
    </row>
    <row r="27" spans="3:14" x14ac:dyDescent="0.25">
      <c r="C27" s="7"/>
      <c r="D27" s="21"/>
      <c r="E27" s="6"/>
      <c r="F27" s="6"/>
      <c r="G27" s="6"/>
      <c r="H27" s="6"/>
      <c r="J27" s="6"/>
      <c r="K27" s="6"/>
      <c r="L27" s="6"/>
      <c r="M27" s="6"/>
      <c r="N27" s="6"/>
    </row>
    <row r="28" spans="3:14" x14ac:dyDescent="0.25">
      <c r="C28" s="8"/>
      <c r="D28" s="6"/>
      <c r="E28" s="6"/>
      <c r="F28" s="6"/>
      <c r="G28" s="6"/>
      <c r="H28" s="6"/>
      <c r="J28" s="6"/>
      <c r="K28" s="6"/>
      <c r="L28" s="6"/>
      <c r="M28" s="6"/>
      <c r="N28" s="6"/>
    </row>
    <row r="29" spans="3:14" x14ac:dyDescent="0.25">
      <c r="C29" s="7"/>
      <c r="D29" s="6"/>
      <c r="E29" s="6"/>
      <c r="F29" s="6"/>
      <c r="G29" s="6"/>
      <c r="H29" s="6"/>
      <c r="J29" s="6"/>
      <c r="K29" s="6"/>
      <c r="L29" s="6"/>
      <c r="M29" s="6"/>
      <c r="N29" s="6"/>
    </row>
    <row r="30" spans="3:14" x14ac:dyDescent="0.25">
      <c r="C30" s="7"/>
      <c r="D30" s="6"/>
      <c r="E30" s="6"/>
      <c r="F30" s="6"/>
      <c r="G30" s="6"/>
      <c r="H30" s="6"/>
      <c r="J30" s="6"/>
      <c r="K30" s="6"/>
      <c r="L30" s="6"/>
      <c r="M30" s="6"/>
      <c r="N30" s="6"/>
    </row>
    <row r="31" spans="3:14" x14ac:dyDescent="0.25">
      <c r="C31" s="7"/>
      <c r="D31" s="6"/>
      <c r="E31" s="6"/>
      <c r="F31" s="6"/>
      <c r="G31" s="6"/>
      <c r="H31" s="6"/>
      <c r="J31" s="6"/>
      <c r="K31" s="6"/>
      <c r="L31" s="6"/>
      <c r="M31" s="6"/>
      <c r="N31" s="6"/>
    </row>
  </sheetData>
  <mergeCells count="12">
    <mergeCell ref="G5:G6"/>
    <mergeCell ref="H5:H6"/>
    <mergeCell ref="A2:A4"/>
    <mergeCell ref="B2:B4"/>
    <mergeCell ref="C2:C4"/>
    <mergeCell ref="D2:H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9E7F-7B6B-40BD-B6AB-1581F7AA2770}">
  <dimension ref="A1:N31"/>
  <sheetViews>
    <sheetView tabSelected="1" zoomScale="115" zoomScaleNormal="115" workbookViewId="0">
      <selection activeCell="I2" sqref="I2"/>
    </sheetView>
  </sheetViews>
  <sheetFormatPr defaultRowHeight="15" x14ac:dyDescent="0.25"/>
  <cols>
    <col min="1" max="1" width="9.5703125" bestFit="1" customWidth="1"/>
    <col min="2" max="2" width="15.7109375" customWidth="1"/>
    <col min="3" max="3" width="15" customWidth="1"/>
    <col min="4" max="4" width="13.85546875" customWidth="1"/>
    <col min="5" max="5" width="14" customWidth="1"/>
    <col min="6" max="6" width="12.5703125" customWidth="1"/>
    <col min="7" max="7" width="14" customWidth="1"/>
    <col min="8" max="8" width="20.28515625" customWidth="1"/>
    <col min="9" max="9" width="10.28515625" bestFit="1" customWidth="1"/>
    <col min="11" max="11" width="9" bestFit="1" customWidth="1"/>
  </cols>
  <sheetData>
    <row r="1" spans="1:12" ht="15.75" thickBot="1" x14ac:dyDescent="0.3">
      <c r="A1" s="1" t="s">
        <v>53</v>
      </c>
    </row>
    <row r="2" spans="1:12" ht="131.25" customHeight="1" x14ac:dyDescent="0.25">
      <c r="A2" s="41" t="s">
        <v>9</v>
      </c>
      <c r="B2" s="61" t="s">
        <v>7</v>
      </c>
      <c r="C2" s="41" t="s">
        <v>8</v>
      </c>
      <c r="D2" s="46" t="s">
        <v>1</v>
      </c>
      <c r="E2" s="47"/>
      <c r="F2" s="47"/>
      <c r="G2" s="47"/>
      <c r="H2" s="48"/>
    </row>
    <row r="3" spans="1:12" x14ac:dyDescent="0.25">
      <c r="A3" s="42"/>
      <c r="B3" s="62"/>
      <c r="C3" s="42"/>
      <c r="D3" s="49"/>
      <c r="E3" s="50"/>
      <c r="F3" s="50"/>
      <c r="G3" s="50"/>
      <c r="H3" s="51"/>
    </row>
    <row r="4" spans="1:12" ht="15.75" thickBot="1" x14ac:dyDescent="0.3">
      <c r="A4" s="42"/>
      <c r="B4" s="62"/>
      <c r="C4" s="42"/>
      <c r="D4" s="49"/>
      <c r="E4" s="50"/>
      <c r="F4" s="50"/>
      <c r="G4" s="50"/>
      <c r="H4" s="51"/>
    </row>
    <row r="5" spans="1:12" ht="18.75" customHeight="1" x14ac:dyDescent="0.25">
      <c r="A5" s="59"/>
      <c r="B5" s="59"/>
      <c r="C5" s="59"/>
      <c r="D5" s="57" t="s">
        <v>2</v>
      </c>
      <c r="E5" s="57" t="s">
        <v>3</v>
      </c>
      <c r="F5" s="57" t="s">
        <v>4</v>
      </c>
      <c r="G5" s="57" t="s">
        <v>39</v>
      </c>
      <c r="H5" s="57" t="s">
        <v>45</v>
      </c>
    </row>
    <row r="6" spans="1:12" ht="15.75" thickBot="1" x14ac:dyDescent="0.3">
      <c r="A6" s="60"/>
      <c r="B6" s="60"/>
      <c r="C6" s="60"/>
      <c r="D6" s="58"/>
      <c r="E6" s="58"/>
      <c r="F6" s="58"/>
      <c r="G6" s="58"/>
      <c r="H6" s="58"/>
    </row>
    <row r="7" spans="1:12" ht="19.5" thickBot="1" x14ac:dyDescent="0.3">
      <c r="A7" s="3" t="str">
        <f>'Задача 5 (К)'!A7</f>
        <v>B5</v>
      </c>
      <c r="B7" s="3">
        <f>'Задача 5 (К)'!B7</f>
        <v>8</v>
      </c>
      <c r="C7" s="3">
        <v>5</v>
      </c>
      <c r="D7" s="3">
        <f>'Задача 5 (К)'!D7</f>
        <v>1</v>
      </c>
      <c r="E7" s="3">
        <f>'Задача 5 (К)'!E7</f>
        <v>1</v>
      </c>
      <c r="F7" s="3">
        <f>'Задача 5 (К)'!F7</f>
        <v>2</v>
      </c>
      <c r="G7" s="3">
        <f>'Задача 5 (К)'!G7</f>
        <v>0</v>
      </c>
      <c r="H7" s="3">
        <f>'Задача 5 (К)'!H7</f>
        <v>0</v>
      </c>
    </row>
    <row r="9" spans="1:12" ht="18.75" x14ac:dyDescent="0.3">
      <c r="A9" s="7" t="s">
        <v>49</v>
      </c>
      <c r="B9" s="7" t="s">
        <v>36</v>
      </c>
      <c r="C9" s="7" t="s">
        <v>37</v>
      </c>
    </row>
    <row r="10" spans="1:12" ht="15" customHeight="1" x14ac:dyDescent="0.25">
      <c r="A10" s="19">
        <f>$B$7*$C$7/($B$7+$C$7-1)</f>
        <v>3.3333333333333335</v>
      </c>
      <c r="B10" s="19">
        <f>$B$7*D7/D13</f>
        <v>9.6</v>
      </c>
      <c r="C10" s="19">
        <f>$B$7/$B$10</f>
        <v>0.83333333333333337</v>
      </c>
    </row>
    <row r="11" spans="1:12" ht="15" customHeight="1" x14ac:dyDescent="0.25">
      <c r="A11" s="6"/>
      <c r="B11" s="6"/>
    </row>
    <row r="12" spans="1:12" ht="15" customHeight="1" x14ac:dyDescent="0.25">
      <c r="A12" s="6"/>
      <c r="B12" s="6"/>
      <c r="D12" s="7" t="s">
        <v>23</v>
      </c>
      <c r="E12" s="7" t="s">
        <v>24</v>
      </c>
      <c r="F12" s="7" t="s">
        <v>25</v>
      </c>
      <c r="G12" s="7" t="s">
        <v>26</v>
      </c>
      <c r="H12" s="7" t="s">
        <v>27</v>
      </c>
      <c r="I12" s="7"/>
    </row>
    <row r="13" spans="1:12" x14ac:dyDescent="0.25">
      <c r="A13" s="6"/>
      <c r="B13" s="6"/>
      <c r="D13" s="18">
        <f>($A$10*D7)/(SUM($D$7:$H$7))</f>
        <v>0.83333333333333337</v>
      </c>
      <c r="E13" s="18">
        <f t="shared" ref="E13:H13" si="0">($A$10*E7)/(SUM($D$7:$H$7))</f>
        <v>0.83333333333333337</v>
      </c>
      <c r="F13" s="18">
        <f>($A$10*F7)/(SUM($D$7:$H$7))</f>
        <v>1.6666666666666667</v>
      </c>
      <c r="G13" s="18">
        <f>($A$10*G7)/(SUM($D$7:$H$7))</f>
        <v>0</v>
      </c>
      <c r="H13" s="18">
        <f t="shared" si="0"/>
        <v>0</v>
      </c>
      <c r="I13" s="18"/>
    </row>
    <row r="14" spans="1:12" x14ac:dyDescent="0.25">
      <c r="B14" s="6"/>
    </row>
    <row r="15" spans="1:12" x14ac:dyDescent="0.25">
      <c r="C15" s="6"/>
      <c r="D15" s="7">
        <v>1</v>
      </c>
      <c r="E15" s="7">
        <f>D15+1</f>
        <v>2</v>
      </c>
      <c r="F15" s="7">
        <f t="shared" ref="F15:H15" si="1">E15+1</f>
        <v>3</v>
      </c>
      <c r="G15" s="7">
        <f t="shared" si="1"/>
        <v>4</v>
      </c>
      <c r="H15" s="7">
        <f t="shared" si="1"/>
        <v>5</v>
      </c>
      <c r="I15" s="7"/>
      <c r="J15" s="7"/>
      <c r="K15" s="7"/>
      <c r="L15" s="6"/>
    </row>
    <row r="16" spans="1:12" x14ac:dyDescent="0.25">
      <c r="C16" s="7" t="s">
        <v>28</v>
      </c>
      <c r="D16" s="19">
        <f>D17+D13</f>
        <v>2.9166666666666674</v>
      </c>
      <c r="E16" s="19">
        <f t="shared" ref="E16:H16" si="2">E17+E13</f>
        <v>2.9166666666666674</v>
      </c>
      <c r="F16" s="19">
        <f t="shared" si="2"/>
        <v>-0.41666666666666674</v>
      </c>
      <c r="G16" s="19">
        <f t="shared" si="2"/>
        <v>0</v>
      </c>
      <c r="H16" s="19">
        <f t="shared" si="2"/>
        <v>0</v>
      </c>
      <c r="I16" s="19">
        <f>SUM(D16:H16)</f>
        <v>5.4166666666666679</v>
      </c>
      <c r="J16" s="20" t="s">
        <v>47</v>
      </c>
      <c r="K16" s="6">
        <f>B7</f>
        <v>8</v>
      </c>
      <c r="L16" s="6"/>
    </row>
    <row r="17" spans="1:14" x14ac:dyDescent="0.25">
      <c r="C17" s="7" t="s">
        <v>29</v>
      </c>
      <c r="D17" s="19">
        <f>D13*D13/(2*(1-D13))</f>
        <v>2.0833333333333339</v>
      </c>
      <c r="E17" s="19">
        <f t="shared" ref="E17:H17" si="3">E13*E13/(2*(1-E13))</f>
        <v>2.0833333333333339</v>
      </c>
      <c r="F17" s="19">
        <f>F13*F13/(2*(1-F13))</f>
        <v>-2.0833333333333335</v>
      </c>
      <c r="G17" s="19">
        <f t="shared" si="3"/>
        <v>0</v>
      </c>
      <c r="H17" s="19">
        <f t="shared" si="3"/>
        <v>0</v>
      </c>
      <c r="I17" s="6"/>
      <c r="J17" s="6"/>
      <c r="K17" s="6"/>
      <c r="L17" s="6"/>
    </row>
    <row r="18" spans="1:14" x14ac:dyDescent="0.25">
      <c r="C18" s="7" t="s">
        <v>30</v>
      </c>
      <c r="D18" s="19">
        <f t="shared" ref="D18:H19" si="4">D16/$C$10</f>
        <v>3.5000000000000009</v>
      </c>
      <c r="E18" s="19">
        <f t="shared" si="4"/>
        <v>3.5000000000000009</v>
      </c>
      <c r="F18" s="19">
        <f t="shared" si="4"/>
        <v>-0.50000000000000011</v>
      </c>
      <c r="G18" s="19">
        <f t="shared" si="4"/>
        <v>0</v>
      </c>
      <c r="H18" s="19">
        <f t="shared" si="4"/>
        <v>0</v>
      </c>
      <c r="I18" s="19">
        <f>SUM(D18:H18)</f>
        <v>6.5000000000000018</v>
      </c>
      <c r="J18" s="20" t="s">
        <v>47</v>
      </c>
      <c r="K18" s="19">
        <f>$B$10</f>
        <v>9.6</v>
      </c>
      <c r="L18" s="6"/>
      <c r="M18" s="6"/>
      <c r="N18" s="6"/>
    </row>
    <row r="19" spans="1:14" x14ac:dyDescent="0.25">
      <c r="C19" s="7" t="s">
        <v>31</v>
      </c>
      <c r="D19" s="19">
        <f t="shared" si="4"/>
        <v>2.5000000000000004</v>
      </c>
      <c r="E19" s="19">
        <f t="shared" si="4"/>
        <v>2.5000000000000004</v>
      </c>
      <c r="F19" s="19">
        <f t="shared" si="4"/>
        <v>-2.5</v>
      </c>
      <c r="G19" s="19">
        <f t="shared" si="4"/>
        <v>0</v>
      </c>
      <c r="H19" s="19">
        <f t="shared" si="4"/>
        <v>0</v>
      </c>
      <c r="I19" s="6"/>
      <c r="J19" s="6"/>
      <c r="K19" s="6"/>
      <c r="L19" s="6"/>
      <c r="M19" s="6"/>
      <c r="N19" s="6"/>
    </row>
    <row r="20" spans="1:14" x14ac:dyDescent="0.25">
      <c r="M20" s="6"/>
      <c r="N20" s="6"/>
    </row>
    <row r="21" spans="1:14" x14ac:dyDescent="0.25">
      <c r="M21" s="6"/>
      <c r="N21" s="6"/>
    </row>
    <row r="22" spans="1:14" x14ac:dyDescent="0.25">
      <c r="M22" s="6"/>
      <c r="N22" s="6"/>
    </row>
    <row r="23" spans="1:14" x14ac:dyDescent="0.25">
      <c r="A23" s="1"/>
      <c r="L23" s="6"/>
      <c r="M23" s="6"/>
      <c r="N23" s="6"/>
    </row>
    <row r="24" spans="1:14" x14ac:dyDescent="0.25">
      <c r="L24" s="6"/>
      <c r="M24" s="6"/>
      <c r="N24" s="6"/>
    </row>
    <row r="25" spans="1:14" x14ac:dyDescent="0.25">
      <c r="L25" s="6"/>
      <c r="M25" s="6"/>
      <c r="N25" s="6"/>
    </row>
    <row r="26" spans="1:14" x14ac:dyDescent="0.25">
      <c r="H26" s="6"/>
      <c r="J26" s="6"/>
      <c r="K26" s="6"/>
      <c r="L26" s="6"/>
      <c r="M26" s="6"/>
      <c r="N26" s="6"/>
    </row>
    <row r="27" spans="1:14" x14ac:dyDescent="0.25">
      <c r="H27" s="6"/>
      <c r="J27" s="6"/>
      <c r="K27" s="6"/>
      <c r="L27" s="6"/>
      <c r="M27" s="6"/>
      <c r="N27" s="6"/>
    </row>
    <row r="28" spans="1:14" x14ac:dyDescent="0.25">
      <c r="H28" s="6"/>
      <c r="J28" s="6"/>
      <c r="K28" s="6"/>
      <c r="L28" s="6"/>
      <c r="M28" s="6"/>
      <c r="N28" s="6"/>
    </row>
    <row r="29" spans="1:14" x14ac:dyDescent="0.25">
      <c r="H29" s="6"/>
      <c r="J29" s="6"/>
      <c r="K29" s="6"/>
      <c r="L29" s="6"/>
      <c r="M29" s="6"/>
      <c r="N29" s="6"/>
    </row>
    <row r="30" spans="1:14" x14ac:dyDescent="0.25">
      <c r="H30" s="6"/>
      <c r="J30" s="6"/>
      <c r="K30" s="6"/>
      <c r="L30" s="6"/>
      <c r="M30" s="6"/>
      <c r="N30" s="6"/>
    </row>
    <row r="31" spans="1:14" x14ac:dyDescent="0.25">
      <c r="H31" s="6"/>
      <c r="J31" s="6"/>
      <c r="K31" s="6"/>
      <c r="L31" s="6"/>
      <c r="M31" s="6"/>
      <c r="N31" s="6"/>
    </row>
  </sheetData>
  <mergeCells count="12">
    <mergeCell ref="G5:G6"/>
    <mergeCell ref="H5:H6"/>
    <mergeCell ref="A2:A4"/>
    <mergeCell ref="B2:B4"/>
    <mergeCell ref="C2:C4"/>
    <mergeCell ref="D2:H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Задача 1 (Б)</vt:lpstr>
      <vt:lpstr>Задача 2 (Б)</vt:lpstr>
      <vt:lpstr>Задача 3 (УМ)</vt:lpstr>
      <vt:lpstr>Задача 4 (СБ)</vt:lpstr>
      <vt:lpstr>Задача 5 (К)</vt:lpstr>
      <vt:lpstr>5.1</vt:lpstr>
      <vt:lpstr>5.2</vt:lpstr>
      <vt:lpstr>5.3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 Ocheretnaya</dc:creator>
  <cp:lastModifiedBy>Захар Чудновский</cp:lastModifiedBy>
  <dcterms:created xsi:type="dcterms:W3CDTF">2015-06-05T18:19:34Z</dcterms:created>
  <dcterms:modified xsi:type="dcterms:W3CDTF">2025-10-30T23:27:01Z</dcterms:modified>
</cp:coreProperties>
</file>