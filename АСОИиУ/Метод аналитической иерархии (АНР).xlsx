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ZA097\Desktop\Учеба\Счастливо\АСОИиУ\"/>
    </mc:Choice>
  </mc:AlternateContent>
  <xr:revisionPtr revIDLastSave="0" documentId="13_ncr:1_{55181EBA-E230-4BA4-9BF4-D02DCDEDF191}" xr6:coauthVersionLast="47" xr6:coauthVersionMax="47" xr10:uidLastSave="{00000000-0000-0000-0000-000000000000}"/>
  <bookViews>
    <workbookView xWindow="19200" yWindow="0" windowWidth="19200" windowHeight="15600" xr2:uid="{164BFC25-50BD-440F-BFDF-2F27F3D674A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5" i="1" l="1"/>
  <c r="C197" i="1"/>
  <c r="C196" i="1"/>
  <c r="C198" i="1"/>
  <c r="C199" i="1"/>
  <c r="R60" i="1"/>
  <c r="R61" i="1"/>
  <c r="R62" i="1"/>
  <c r="R63" i="1"/>
  <c r="R64" i="1"/>
  <c r="R65" i="1"/>
  <c r="M168" i="1"/>
  <c r="N168" i="1"/>
  <c r="O168" i="1"/>
  <c r="P168" i="1"/>
  <c r="M169" i="1"/>
  <c r="N169" i="1"/>
  <c r="O169" i="1"/>
  <c r="P169" i="1"/>
  <c r="M170" i="1"/>
  <c r="N170" i="1"/>
  <c r="O170" i="1"/>
  <c r="P170" i="1"/>
  <c r="M171" i="1"/>
  <c r="N171" i="1"/>
  <c r="O171" i="1"/>
  <c r="P171" i="1"/>
  <c r="M172" i="1"/>
  <c r="N172" i="1"/>
  <c r="O172" i="1"/>
  <c r="P172" i="1"/>
  <c r="L169" i="1"/>
  <c r="L170" i="1"/>
  <c r="L171" i="1"/>
  <c r="L172" i="1"/>
  <c r="L168" i="1"/>
  <c r="J169" i="1"/>
  <c r="J170" i="1"/>
  <c r="J171" i="1"/>
  <c r="J172" i="1"/>
  <c r="J168" i="1"/>
  <c r="M149" i="1"/>
  <c r="N149" i="1"/>
  <c r="O149" i="1"/>
  <c r="P149" i="1"/>
  <c r="M150" i="1"/>
  <c r="N150" i="1"/>
  <c r="O150" i="1"/>
  <c r="P150" i="1"/>
  <c r="M151" i="1"/>
  <c r="N151" i="1"/>
  <c r="O151" i="1"/>
  <c r="P151" i="1"/>
  <c r="M152" i="1"/>
  <c r="N152" i="1"/>
  <c r="O152" i="1"/>
  <c r="P152" i="1"/>
  <c r="M153" i="1"/>
  <c r="N153" i="1"/>
  <c r="O153" i="1"/>
  <c r="P153" i="1"/>
  <c r="L150" i="1"/>
  <c r="L151" i="1"/>
  <c r="L152" i="1"/>
  <c r="L153" i="1"/>
  <c r="L149" i="1"/>
  <c r="J150" i="1"/>
  <c r="J151" i="1"/>
  <c r="J152" i="1"/>
  <c r="J153" i="1"/>
  <c r="J149" i="1"/>
  <c r="M130" i="1"/>
  <c r="N130" i="1"/>
  <c r="O130" i="1"/>
  <c r="P130" i="1"/>
  <c r="M131" i="1"/>
  <c r="N131" i="1"/>
  <c r="O131" i="1"/>
  <c r="P131" i="1"/>
  <c r="M132" i="1"/>
  <c r="N132" i="1"/>
  <c r="O132" i="1"/>
  <c r="P132" i="1"/>
  <c r="M133" i="1"/>
  <c r="N133" i="1"/>
  <c r="O133" i="1"/>
  <c r="P133" i="1"/>
  <c r="M134" i="1"/>
  <c r="N134" i="1"/>
  <c r="O134" i="1"/>
  <c r="P134" i="1"/>
  <c r="L131" i="1"/>
  <c r="L132" i="1"/>
  <c r="L133" i="1"/>
  <c r="L134" i="1"/>
  <c r="L130" i="1"/>
  <c r="J131" i="1"/>
  <c r="J132" i="1"/>
  <c r="J133" i="1"/>
  <c r="J134" i="1"/>
  <c r="J130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53" i="1"/>
  <c r="F153" i="1"/>
  <c r="E153" i="1"/>
  <c r="D153" i="1"/>
  <c r="C153" i="1"/>
  <c r="G152" i="1"/>
  <c r="F152" i="1"/>
  <c r="E152" i="1"/>
  <c r="D152" i="1"/>
  <c r="C152" i="1"/>
  <c r="G151" i="1"/>
  <c r="F151" i="1"/>
  <c r="E151" i="1"/>
  <c r="D151" i="1"/>
  <c r="C151" i="1"/>
  <c r="G150" i="1"/>
  <c r="F150" i="1"/>
  <c r="E150" i="1"/>
  <c r="D150" i="1"/>
  <c r="C150" i="1"/>
  <c r="G149" i="1"/>
  <c r="F149" i="1"/>
  <c r="E149" i="1"/>
  <c r="D149" i="1"/>
  <c r="C149" i="1"/>
  <c r="G134" i="1"/>
  <c r="F134" i="1"/>
  <c r="E134" i="1"/>
  <c r="D134" i="1"/>
  <c r="C134" i="1"/>
  <c r="G133" i="1"/>
  <c r="F133" i="1"/>
  <c r="E133" i="1"/>
  <c r="D133" i="1"/>
  <c r="C133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16" i="1"/>
  <c r="F116" i="1"/>
  <c r="E116" i="1"/>
  <c r="D116" i="1"/>
  <c r="C116" i="1"/>
  <c r="G115" i="1"/>
  <c r="F115" i="1"/>
  <c r="E115" i="1"/>
  <c r="D115" i="1"/>
  <c r="C115" i="1"/>
  <c r="G114" i="1"/>
  <c r="F114" i="1"/>
  <c r="E114" i="1"/>
  <c r="D114" i="1"/>
  <c r="C114" i="1"/>
  <c r="G113" i="1"/>
  <c r="F113" i="1"/>
  <c r="E113" i="1"/>
  <c r="D113" i="1"/>
  <c r="C113" i="1"/>
  <c r="G112" i="1"/>
  <c r="F112" i="1"/>
  <c r="E112" i="1"/>
  <c r="D112" i="1"/>
  <c r="C112" i="1"/>
  <c r="D99" i="1"/>
  <c r="E99" i="1"/>
  <c r="F99" i="1"/>
  <c r="G99" i="1"/>
  <c r="C99" i="1"/>
  <c r="D98" i="1"/>
  <c r="E98" i="1"/>
  <c r="F98" i="1"/>
  <c r="G98" i="1"/>
  <c r="C98" i="1"/>
  <c r="D97" i="1"/>
  <c r="E97" i="1"/>
  <c r="F97" i="1"/>
  <c r="G97" i="1"/>
  <c r="C97" i="1"/>
  <c r="D96" i="1"/>
  <c r="E96" i="1"/>
  <c r="F96" i="1"/>
  <c r="G96" i="1"/>
  <c r="C96" i="1"/>
  <c r="G95" i="1"/>
  <c r="E95" i="1"/>
  <c r="F95" i="1"/>
  <c r="D95" i="1"/>
  <c r="D72" i="1"/>
  <c r="C95" i="1"/>
  <c r="I95" i="1"/>
  <c r="E72" i="1"/>
  <c r="F74" i="1"/>
  <c r="E74" i="1"/>
  <c r="D74" i="1"/>
  <c r="C74" i="1"/>
  <c r="G73" i="1"/>
  <c r="F73" i="1"/>
  <c r="E73" i="1"/>
  <c r="I60" i="1"/>
  <c r="G76" i="1"/>
  <c r="F76" i="1"/>
  <c r="E76" i="1"/>
  <c r="D76" i="1"/>
  <c r="C75" i="1"/>
  <c r="C76" i="1"/>
  <c r="F72" i="1"/>
  <c r="G72" i="1"/>
  <c r="D75" i="1"/>
  <c r="E75" i="1"/>
  <c r="F75" i="1"/>
  <c r="G75" i="1"/>
  <c r="G74" i="1"/>
  <c r="D73" i="1"/>
  <c r="C73" i="1"/>
  <c r="E84" i="1"/>
  <c r="E83" i="1"/>
  <c r="E82" i="1"/>
  <c r="E81" i="1"/>
  <c r="D84" i="1"/>
  <c r="D83" i="1"/>
  <c r="D82" i="1"/>
  <c r="D81" i="1"/>
  <c r="F66" i="1"/>
  <c r="O61" i="1" s="1"/>
  <c r="G66" i="1"/>
  <c r="P61" i="1" s="1"/>
  <c r="H66" i="1"/>
  <c r="Q61" i="1" s="1"/>
  <c r="E63" i="1"/>
  <c r="D64" i="1"/>
  <c r="D63" i="1"/>
  <c r="D62" i="1"/>
  <c r="C65" i="1"/>
  <c r="C64" i="1"/>
  <c r="C63" i="1"/>
  <c r="C62" i="1"/>
  <c r="C61" i="1"/>
  <c r="I61" i="1" s="1"/>
  <c r="D53" i="1"/>
  <c r="C19" i="1"/>
  <c r="I8" i="1"/>
  <c r="J8" i="1" s="1"/>
  <c r="D11" i="1"/>
  <c r="D10" i="1"/>
  <c r="C11" i="1"/>
  <c r="C9" i="1"/>
  <c r="I9" i="1" s="1"/>
  <c r="C10" i="1"/>
  <c r="I168" i="1" l="1"/>
  <c r="C21" i="1"/>
  <c r="I11" i="1"/>
  <c r="J11" i="1" s="1"/>
  <c r="M8" i="1"/>
  <c r="L8" i="1"/>
  <c r="C66" i="1"/>
  <c r="O62" i="1"/>
  <c r="C22" i="1"/>
  <c r="I64" i="1"/>
  <c r="K8" i="1"/>
  <c r="C20" i="1"/>
  <c r="C26" i="1" s="1"/>
  <c r="C28" i="1" s="1"/>
  <c r="C34" i="1" s="1"/>
  <c r="I75" i="1"/>
  <c r="O65" i="1"/>
  <c r="I10" i="1"/>
  <c r="L10" i="1" s="1"/>
  <c r="I62" i="1"/>
  <c r="O64" i="1"/>
  <c r="O63" i="1"/>
  <c r="M9" i="1"/>
  <c r="K9" i="1"/>
  <c r="J9" i="1"/>
  <c r="L9" i="1"/>
  <c r="Q60" i="1"/>
  <c r="O60" i="1"/>
  <c r="I72" i="1"/>
  <c r="E66" i="1"/>
  <c r="N63" i="1" s="1"/>
  <c r="P65" i="1"/>
  <c r="D66" i="1"/>
  <c r="M62" i="1" s="1"/>
  <c r="P64" i="1"/>
  <c r="I65" i="1"/>
  <c r="P63" i="1"/>
  <c r="D101" i="1"/>
  <c r="M97" i="1" s="1"/>
  <c r="P60" i="1"/>
  <c r="P62" i="1"/>
  <c r="C101" i="1"/>
  <c r="L95" i="1" s="1"/>
  <c r="I63" i="1"/>
  <c r="E174" i="1"/>
  <c r="Q65" i="1"/>
  <c r="C78" i="1"/>
  <c r="L75" i="1" s="1"/>
  <c r="F174" i="1"/>
  <c r="Q64" i="1"/>
  <c r="L99" i="1"/>
  <c r="G174" i="1"/>
  <c r="Q63" i="1"/>
  <c r="Q62" i="1"/>
  <c r="I131" i="1"/>
  <c r="I153" i="1"/>
  <c r="G155" i="1"/>
  <c r="I152" i="1"/>
  <c r="F155" i="1"/>
  <c r="E155" i="1"/>
  <c r="I149" i="1"/>
  <c r="F136" i="1"/>
  <c r="G136" i="1"/>
  <c r="E136" i="1"/>
  <c r="I172" i="1"/>
  <c r="I171" i="1"/>
  <c r="I170" i="1"/>
  <c r="C174" i="1"/>
  <c r="I169" i="1"/>
  <c r="D174" i="1"/>
  <c r="I151" i="1"/>
  <c r="C155" i="1"/>
  <c r="I150" i="1"/>
  <c r="D155" i="1"/>
  <c r="I134" i="1"/>
  <c r="I133" i="1"/>
  <c r="I132" i="1"/>
  <c r="C136" i="1"/>
  <c r="D136" i="1"/>
  <c r="I130" i="1"/>
  <c r="G118" i="1"/>
  <c r="E118" i="1"/>
  <c r="F118" i="1"/>
  <c r="I116" i="1"/>
  <c r="I115" i="1"/>
  <c r="I114" i="1"/>
  <c r="C118" i="1"/>
  <c r="I113" i="1"/>
  <c r="D118" i="1"/>
  <c r="I112" i="1"/>
  <c r="G101" i="1"/>
  <c r="I96" i="1"/>
  <c r="F101" i="1"/>
  <c r="O96" i="1" s="1"/>
  <c r="I99" i="1"/>
  <c r="I98" i="1"/>
  <c r="I97" i="1"/>
  <c r="E101" i="1"/>
  <c r="N95" i="1" s="1"/>
  <c r="G78" i="1"/>
  <c r="P76" i="1" s="1"/>
  <c r="F78" i="1"/>
  <c r="E78" i="1"/>
  <c r="N75" i="1" s="1"/>
  <c r="D78" i="1"/>
  <c r="M73" i="1" s="1"/>
  <c r="I74" i="1"/>
  <c r="I73" i="1"/>
  <c r="I76" i="1"/>
  <c r="L11" i="1" l="1"/>
  <c r="L96" i="1"/>
  <c r="K11" i="1"/>
  <c r="M11" i="1"/>
  <c r="I66" i="1"/>
  <c r="J62" i="1" s="1"/>
  <c r="J10" i="1"/>
  <c r="N99" i="1"/>
  <c r="N96" i="1"/>
  <c r="C15" i="1"/>
  <c r="N97" i="1"/>
  <c r="P74" i="1"/>
  <c r="C13" i="1"/>
  <c r="N98" i="1"/>
  <c r="L60" i="1"/>
  <c r="L61" i="1"/>
  <c r="K10" i="1"/>
  <c r="C14" i="1" s="1"/>
  <c r="L63" i="1"/>
  <c r="M10" i="1"/>
  <c r="C16" i="1" s="1"/>
  <c r="L65" i="1"/>
  <c r="L64" i="1"/>
  <c r="L62" i="1"/>
  <c r="J65" i="1"/>
  <c r="J64" i="1"/>
  <c r="M61" i="1"/>
  <c r="M64" i="1"/>
  <c r="M65" i="1"/>
  <c r="M60" i="1"/>
  <c r="P97" i="1"/>
  <c r="P95" i="1"/>
  <c r="P96" i="1"/>
  <c r="N62" i="1"/>
  <c r="N64" i="1"/>
  <c r="N65" i="1"/>
  <c r="N61" i="1"/>
  <c r="N60" i="1"/>
  <c r="J61" i="1"/>
  <c r="O99" i="1"/>
  <c r="O95" i="1"/>
  <c r="L76" i="1"/>
  <c r="O98" i="1"/>
  <c r="L74" i="1"/>
  <c r="L72" i="1"/>
  <c r="J60" i="1"/>
  <c r="N72" i="1"/>
  <c r="M95" i="1"/>
  <c r="M63" i="1"/>
  <c r="P99" i="1"/>
  <c r="N76" i="1"/>
  <c r="M98" i="1"/>
  <c r="O73" i="1"/>
  <c r="O76" i="1"/>
  <c r="O75" i="1"/>
  <c r="O97" i="1"/>
  <c r="P73" i="1"/>
  <c r="P75" i="1"/>
  <c r="J63" i="1"/>
  <c r="O74" i="1"/>
  <c r="M96" i="1"/>
  <c r="L73" i="1"/>
  <c r="R73" i="1" s="1"/>
  <c r="O72" i="1"/>
  <c r="L98" i="1"/>
  <c r="L97" i="1"/>
  <c r="P72" i="1"/>
  <c r="P98" i="1"/>
  <c r="M75" i="1"/>
  <c r="M74" i="1"/>
  <c r="M76" i="1"/>
  <c r="M72" i="1"/>
  <c r="N73" i="1"/>
  <c r="N74" i="1"/>
  <c r="M99" i="1"/>
  <c r="R99" i="1" s="1"/>
  <c r="O114" i="1"/>
  <c r="O116" i="1"/>
  <c r="O115" i="1"/>
  <c r="O113" i="1"/>
  <c r="P114" i="1"/>
  <c r="P115" i="1"/>
  <c r="P116" i="1"/>
  <c r="P113" i="1"/>
  <c r="M114" i="1"/>
  <c r="M112" i="1"/>
  <c r="M115" i="1"/>
  <c r="M116" i="1"/>
  <c r="M113" i="1"/>
  <c r="L112" i="1"/>
  <c r="L115" i="1"/>
  <c r="L116" i="1"/>
  <c r="L114" i="1"/>
  <c r="N114" i="1"/>
  <c r="N115" i="1"/>
  <c r="N113" i="1"/>
  <c r="N116" i="1"/>
  <c r="L113" i="1"/>
  <c r="P112" i="1"/>
  <c r="O112" i="1"/>
  <c r="N112" i="1"/>
  <c r="I174" i="1"/>
  <c r="I155" i="1"/>
  <c r="I136" i="1"/>
  <c r="I118" i="1"/>
  <c r="I101" i="1"/>
  <c r="J95" i="1" s="1"/>
  <c r="I78" i="1"/>
  <c r="J75" i="1" s="1"/>
  <c r="R169" i="1" l="1"/>
  <c r="R95" i="1"/>
  <c r="J76" i="1"/>
  <c r="J74" i="1"/>
  <c r="R96" i="1"/>
  <c r="J73" i="1"/>
  <c r="R131" i="1"/>
  <c r="R132" i="1"/>
  <c r="R75" i="1"/>
  <c r="J98" i="1"/>
  <c r="J66" i="1"/>
  <c r="R72" i="1"/>
  <c r="R74" i="1"/>
  <c r="J96" i="1"/>
  <c r="J101" i="1" s="1"/>
  <c r="R171" i="1"/>
  <c r="R76" i="1"/>
  <c r="R170" i="1"/>
  <c r="J72" i="1"/>
  <c r="R97" i="1"/>
  <c r="R98" i="1"/>
  <c r="J97" i="1"/>
  <c r="J99" i="1"/>
  <c r="R150" i="1"/>
  <c r="R151" i="1"/>
  <c r="R114" i="1"/>
  <c r="R168" i="1"/>
  <c r="J113" i="1"/>
  <c r="R133" i="1"/>
  <c r="J114" i="1"/>
  <c r="J115" i="1"/>
  <c r="J116" i="1"/>
  <c r="R153" i="1"/>
  <c r="R116" i="1"/>
  <c r="R134" i="1"/>
  <c r="R112" i="1"/>
  <c r="R152" i="1"/>
  <c r="R115" i="1"/>
  <c r="R172" i="1"/>
  <c r="J112" i="1"/>
  <c r="R130" i="1"/>
  <c r="R149" i="1"/>
  <c r="R113" i="1"/>
  <c r="R66" i="1" l="1"/>
  <c r="R174" i="1"/>
  <c r="R101" i="1"/>
  <c r="J78" i="1"/>
  <c r="R78" i="1"/>
  <c r="J118" i="1"/>
  <c r="J136" i="1"/>
  <c r="R118" i="1"/>
  <c r="J174" i="1"/>
  <c r="R136" i="1"/>
  <c r="J155" i="1"/>
  <c r="R155" i="1"/>
</calcChain>
</file>

<file path=xl/sharedStrings.xml><?xml version="1.0" encoding="utf-8"?>
<sst xmlns="http://schemas.openxmlformats.org/spreadsheetml/2006/main" count="238" uniqueCount="66">
  <si>
    <t>К1</t>
  </si>
  <si>
    <t>К2</t>
  </si>
  <si>
    <t>К3</t>
  </si>
  <si>
    <t>К4</t>
  </si>
  <si>
    <t>Производительность</t>
  </si>
  <si>
    <t>Надежность</t>
  </si>
  <si>
    <t>Стоимость</t>
  </si>
  <si>
    <t>Поддержка VLAN/QoS/SNMP</t>
  </si>
  <si>
    <t>Критерий</t>
  </si>
  <si>
    <t>ВЕС (%)</t>
  </si>
  <si>
    <t>Строка</t>
  </si>
  <si>
    <t>Сумма</t>
  </si>
  <si>
    <t>Нормализация</t>
  </si>
  <si>
    <t>[1,3,5,4]</t>
  </si>
  <si>
    <t>[1/5, 1/3, 1, 1/2]</t>
  </si>
  <si>
    <t>[1/4, 1/2, 2, 1]</t>
  </si>
  <si>
    <t>[1/3, 1, 3, 2]</t>
  </si>
  <si>
    <r>
      <t xml:space="preserve">Нахождение приоритетного вектора </t>
    </r>
    <r>
      <rPr>
        <i/>
        <sz val="13.3"/>
        <rFont val="KaTeX_Math"/>
      </rPr>
      <t>w</t>
    </r>
  </si>
  <si>
    <r>
      <t xml:space="preserve">Найдём собственное значение </t>
    </r>
    <r>
      <rPr>
        <i/>
        <sz val="13.3"/>
        <rFont val="KaTeX_Math"/>
      </rPr>
      <t>λ</t>
    </r>
    <r>
      <rPr>
        <sz val="7.7"/>
        <rFont val="Times New Roman"/>
        <family val="1"/>
        <charset val="204"/>
      </rPr>
      <t>max</t>
    </r>
    <r>
      <rPr>
        <sz val="1"/>
        <rFont val="Times New Roman"/>
        <family val="1"/>
        <charset val="204"/>
      </rPr>
      <t>​</t>
    </r>
  </si>
  <si>
    <t xml:space="preserve">1 строка </t>
  </si>
  <si>
    <t xml:space="preserve">2 строка </t>
  </si>
  <si>
    <t xml:space="preserve">3 строка </t>
  </si>
  <si>
    <t xml:space="preserve">4 строка </t>
  </si>
  <si>
    <r>
      <t xml:space="preserve">найдём </t>
    </r>
    <r>
      <rPr>
        <i/>
        <sz val="13.3"/>
        <rFont val="KaTeX_Math"/>
      </rPr>
      <t>λ</t>
    </r>
    <r>
      <rPr>
        <sz val="7.7"/>
        <rFont val="Times New Roman"/>
        <family val="1"/>
        <charset val="204"/>
      </rPr>
      <t>max</t>
    </r>
    <r>
      <rPr>
        <sz val="1"/>
        <rFont val="Times New Roman"/>
        <family val="1"/>
        <charset val="204"/>
      </rPr>
      <t>​</t>
    </r>
    <r>
      <rPr>
        <sz val="12"/>
        <rFont val="Arial"/>
        <family val="2"/>
        <charset val="204"/>
      </rPr>
      <t xml:space="preserve"> из формулы:</t>
    </r>
  </si>
  <si>
    <t>λmax</t>
  </si>
  <si>
    <t>CI</t>
  </si>
  <si>
    <r>
      <t xml:space="preserve">Средний индекс согласованности </t>
    </r>
    <r>
      <rPr>
        <i/>
        <sz val="13.3"/>
        <rFont val="KaTeX_Math"/>
      </rPr>
      <t>RI</t>
    </r>
    <r>
      <rPr>
        <sz val="12"/>
        <rFont val="Arial"/>
        <family val="2"/>
        <charset val="204"/>
      </rPr>
      <t xml:space="preserve"> для </t>
    </r>
    <r>
      <rPr>
        <i/>
        <sz val="13.3"/>
        <rFont val="KaTeX_Math"/>
      </rPr>
      <t>n</t>
    </r>
    <r>
      <rPr>
        <sz val="13.3"/>
        <rFont val="Times New Roman"/>
        <family val="1"/>
        <charset val="204"/>
      </rPr>
      <t>=4</t>
    </r>
    <r>
      <rPr>
        <sz val="12"/>
        <rFont val="Arial"/>
        <family val="2"/>
        <charset val="204"/>
      </rPr>
      <t xml:space="preserve"> :</t>
    </r>
  </si>
  <si>
    <t>RI = 0,90 (по таблице Саати)</t>
  </si>
  <si>
    <t>CR</t>
  </si>
  <si>
    <t>Вывод: Для выбора оборудования ЛВС был применён метод аналитической иерархии (AHP).
Была построена попарная матрица сравнений по четырём критериям: производительность, надёжность, стоимость и функциональность.
Затем рассчитан приоритетный вектор и проверена согласованность решения с помощью коэффициента согласованности CR .
Получено CR≈0.311 , что превышает допустимый порог 0.1, поэтому необходимо скорректировать оценки в матрице.
После улучшения согласованности можно будет принять окончательное решение о выборе оборудования</t>
  </si>
  <si>
    <t>B1</t>
  </si>
  <si>
    <t>B2</t>
  </si>
  <si>
    <t>B3</t>
  </si>
  <si>
    <t>B4</t>
  </si>
  <si>
    <t>B5</t>
  </si>
  <si>
    <r>
      <t>К</t>
    </r>
    <r>
      <rPr>
        <b/>
        <vertAlign val="subscript"/>
        <sz val="12"/>
        <color theme="1"/>
        <rFont val="Times New Roman"/>
        <family val="1"/>
        <charset val="204"/>
      </rPr>
      <t>1</t>
    </r>
  </si>
  <si>
    <r>
      <t>К</t>
    </r>
    <r>
      <rPr>
        <b/>
        <vertAlign val="subscript"/>
        <sz val="12"/>
        <color theme="1"/>
        <rFont val="Times New Roman"/>
        <family val="1"/>
        <charset val="204"/>
      </rPr>
      <t>2</t>
    </r>
  </si>
  <si>
    <r>
      <t>К</t>
    </r>
    <r>
      <rPr>
        <b/>
        <vertAlign val="subscript"/>
        <sz val="12"/>
        <color theme="1"/>
        <rFont val="Times New Roman"/>
        <family val="1"/>
        <charset val="204"/>
      </rPr>
      <t>3</t>
    </r>
  </si>
  <si>
    <r>
      <t>К</t>
    </r>
    <r>
      <rPr>
        <b/>
        <vertAlign val="subscript"/>
        <sz val="12"/>
        <color theme="1"/>
        <rFont val="Times New Roman"/>
        <family val="1"/>
        <charset val="204"/>
      </rPr>
      <t>4</t>
    </r>
  </si>
  <si>
    <r>
      <t>К</t>
    </r>
    <r>
      <rPr>
        <b/>
        <vertAlign val="subscript"/>
        <sz val="12"/>
        <color theme="1"/>
        <rFont val="Times New Roman"/>
        <family val="1"/>
        <charset val="204"/>
      </rPr>
      <t>5</t>
    </r>
  </si>
  <si>
    <r>
      <t>К</t>
    </r>
    <r>
      <rPr>
        <b/>
        <vertAlign val="subscript"/>
        <sz val="12"/>
        <color theme="1"/>
        <rFont val="Times New Roman"/>
        <family val="1"/>
        <charset val="204"/>
      </rPr>
      <t>6</t>
    </r>
  </si>
  <si>
    <t>нормализации всей матрицы получаем</t>
  </si>
  <si>
    <t>Вес</t>
  </si>
  <si>
    <r>
      <t>B</t>
    </r>
    <r>
      <rPr>
        <b/>
        <vertAlign val="subscript"/>
        <sz val="12"/>
        <color theme="1"/>
        <rFont val="Times New Roman"/>
        <family val="1"/>
        <charset val="204"/>
      </rPr>
      <t>2</t>
    </r>
  </si>
  <si>
    <r>
      <rPr>
        <sz val="12"/>
        <color theme="1"/>
        <rFont val="Times New Roman"/>
        <family val="1"/>
        <charset val="204"/>
      </rPr>
      <t>B</t>
    </r>
    <r>
      <rPr>
        <b/>
        <vertAlign val="subscript"/>
        <sz val="12"/>
        <color theme="1"/>
        <rFont val="Times New Roman"/>
        <family val="1"/>
        <charset val="204"/>
      </rPr>
      <t>1</t>
    </r>
  </si>
  <si>
    <r>
      <t>B</t>
    </r>
    <r>
      <rPr>
        <b/>
        <vertAlign val="subscript"/>
        <sz val="12"/>
        <color theme="1"/>
        <rFont val="Times New Roman"/>
        <family val="1"/>
        <charset val="204"/>
      </rPr>
      <t>3</t>
    </r>
  </si>
  <si>
    <r>
      <t>B</t>
    </r>
    <r>
      <rPr>
        <b/>
        <vertAlign val="subscript"/>
        <sz val="12"/>
        <color theme="1"/>
        <rFont val="Times New Roman"/>
        <family val="1"/>
        <charset val="204"/>
      </rPr>
      <t>4</t>
    </r>
  </si>
  <si>
    <r>
      <t>B</t>
    </r>
    <r>
      <rPr>
        <b/>
        <vertAlign val="subscript"/>
        <sz val="12"/>
        <color theme="1"/>
        <rFont val="Times New Roman"/>
        <family val="1"/>
        <charset val="204"/>
      </rPr>
      <t>5</t>
    </r>
  </si>
  <si>
    <r>
      <t>B</t>
    </r>
    <r>
      <rPr>
        <b/>
        <vertAlign val="subscript"/>
        <sz val="12"/>
        <color theme="1"/>
        <rFont val="Times New Roman"/>
        <family val="1"/>
        <charset val="204"/>
      </rPr>
      <t>1</t>
    </r>
  </si>
  <si>
    <t>Цена, тыс. Руб</t>
  </si>
  <si>
    <t>Тактовая частота процессоров, МГц</t>
  </si>
  <si>
    <t>Объем кэша процессоров, МБ</t>
  </si>
  <si>
    <t>Сравнение вариантов по К4</t>
  </si>
  <si>
    <t>Производительность шины ОП (RAM), МГц</t>
  </si>
  <si>
    <t>Число дисковых накопителей, шт</t>
  </si>
  <si>
    <t>K1</t>
  </si>
  <si>
    <t>K2</t>
  </si>
  <si>
    <t>K3</t>
  </si>
  <si>
    <t>K4</t>
  </si>
  <si>
    <t>K5</t>
  </si>
  <si>
    <t>K6</t>
  </si>
  <si>
    <t>Dell PowerEdge R750</t>
  </si>
  <si>
    <t>HPE ProLiant DL380 Gen10</t>
  </si>
  <si>
    <t>Lenovo ThinkSystem SR650</t>
  </si>
  <si>
    <t>Supermicro H12DSi-NT</t>
  </si>
  <si>
    <t>HP ProLiant ML350 Gen10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</si>
</sst>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charset val="204"/>
      <scheme val="minor"/>
    </font>
    <font>
      <sz val="12"/>
      <name val="Arial"/>
      <family val="2"/>
      <charset val="204"/>
    </font>
    <font>
      <i/>
      <sz val="13.3"/>
      <name val="KaTeX_Math"/>
    </font>
    <font>
      <sz val="13.3"/>
      <name val="Times New Roman"/>
      <family val="1"/>
      <charset val="204"/>
    </font>
    <font>
      <sz val="7.7"/>
      <name val="Times New Roman"/>
      <family val="1"/>
      <charset val="204"/>
    </font>
    <font>
      <sz val="1"/>
      <name val="Times New Roman"/>
      <family val="1"/>
      <charset val="204"/>
    </font>
    <font>
      <sz val="12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bscript"/>
      <sz val="12"/>
      <color theme="1"/>
      <name val="Times New Roman"/>
      <family val="1"/>
      <charset val="204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2" fontId="0" fillId="0" borderId="0" xfId="0" applyNumberForma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top" wrapTex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2" fontId="10" fillId="0" borderId="5" xfId="0" applyNumberFormat="1" applyFont="1" applyBorder="1" applyAlignment="1">
      <alignment vertical="center" wrapText="1"/>
    </xf>
    <xf numFmtId="0" fontId="0" fillId="0" borderId="2" xfId="0" applyNumberFormat="1" applyBorder="1" applyAlignment="1">
      <alignment vertical="top" wrapText="1"/>
    </xf>
    <xf numFmtId="0" fontId="7" fillId="0" borderId="3" xfId="0" applyNumberFormat="1" applyFont="1" applyBorder="1" applyAlignment="1">
      <alignment vertical="center" wrapText="1"/>
    </xf>
    <xf numFmtId="0" fontId="7" fillId="0" borderId="4" xfId="0" applyNumberFormat="1" applyFont="1" applyBorder="1" applyAlignment="1">
      <alignment vertical="center" wrapText="1"/>
    </xf>
    <xf numFmtId="0" fontId="10" fillId="0" borderId="5" xfId="0" applyNumberFormat="1" applyFont="1" applyBorder="1" applyAlignment="1">
      <alignment vertical="center" wrapText="1"/>
    </xf>
    <xf numFmtId="0" fontId="7" fillId="0" borderId="6" xfId="0" applyNumberFormat="1" applyFont="1" applyFill="1" applyBorder="1" applyAlignment="1">
      <alignment vertical="center" wrapText="1"/>
    </xf>
    <xf numFmtId="0" fontId="1" fillId="0" borderId="0" xfId="0" applyFont="1"/>
    <xf numFmtId="0" fontId="7" fillId="0" borderId="7" xfId="0" applyNumberFormat="1" applyFont="1" applyFill="1" applyBorder="1" applyAlignment="1">
      <alignment vertical="center" wrapText="1"/>
    </xf>
    <xf numFmtId="0" fontId="10" fillId="0" borderId="7" xfId="0" applyNumberFormat="1" applyFont="1" applyFill="1" applyBorder="1" applyAlignment="1">
      <alignment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1901-D3C7-4E56-AFC1-E99D1C91216F}">
  <dimension ref="A1:R209"/>
  <sheetViews>
    <sheetView tabSelected="1" topLeftCell="A184" workbookViewId="0">
      <selection activeCell="D209" sqref="D209"/>
    </sheetView>
  </sheetViews>
  <sheetFormatPr defaultRowHeight="15"/>
  <cols>
    <col min="1" max="1" width="3.140625" bestFit="1" customWidth="1"/>
    <col min="2" max="2" width="27.85546875" bestFit="1" customWidth="1"/>
    <col min="3" max="3" width="11.42578125" customWidth="1"/>
    <col min="4" max="7" width="15.42578125" bestFit="1" customWidth="1"/>
    <col min="8" max="8" width="15.140625" bestFit="1" customWidth="1"/>
    <col min="9" max="9" width="7" bestFit="1" customWidth="1"/>
    <col min="10" max="10" width="14.5703125" bestFit="1" customWidth="1"/>
    <col min="12" max="12" width="13.140625" bestFit="1" customWidth="1"/>
    <col min="16" max="16" width="13.140625" bestFit="1" customWidth="1"/>
    <col min="18" max="18" width="13.140625" bestFit="1" customWidth="1"/>
  </cols>
  <sheetData>
    <row r="1" spans="1:13">
      <c r="B1" t="s">
        <v>8</v>
      </c>
      <c r="C1" t="s">
        <v>9</v>
      </c>
    </row>
    <row r="2" spans="1:13">
      <c r="A2" t="s">
        <v>0</v>
      </c>
      <c r="B2" t="s">
        <v>4</v>
      </c>
      <c r="C2">
        <v>40</v>
      </c>
      <c r="D2">
        <v>0.4</v>
      </c>
    </row>
    <row r="3" spans="1:13">
      <c r="A3" t="s">
        <v>1</v>
      </c>
      <c r="B3" t="s">
        <v>5</v>
      </c>
      <c r="C3">
        <v>25</v>
      </c>
      <c r="D3">
        <v>0.25</v>
      </c>
    </row>
    <row r="4" spans="1:13">
      <c r="A4" t="s">
        <v>2</v>
      </c>
      <c r="B4" t="s">
        <v>6</v>
      </c>
      <c r="C4">
        <v>20</v>
      </c>
      <c r="D4">
        <v>0.2</v>
      </c>
    </row>
    <row r="5" spans="1:13">
      <c r="A5" t="s">
        <v>3</v>
      </c>
      <c r="B5" t="s">
        <v>7</v>
      </c>
      <c r="C5">
        <v>15</v>
      </c>
      <c r="D5">
        <v>0.15</v>
      </c>
    </row>
    <row r="6" spans="1:13" ht="18">
      <c r="B6" s="2" t="s">
        <v>17</v>
      </c>
    </row>
    <row r="7" spans="1:13">
      <c r="B7" s="1" t="s">
        <v>8</v>
      </c>
      <c r="C7" s="1" t="s">
        <v>0</v>
      </c>
      <c r="D7" s="1" t="s">
        <v>1</v>
      </c>
      <c r="E7" s="1" t="s">
        <v>2</v>
      </c>
      <c r="F7" s="1" t="s">
        <v>3</v>
      </c>
      <c r="H7" s="1" t="s">
        <v>10</v>
      </c>
      <c r="I7" s="1" t="s">
        <v>11</v>
      </c>
      <c r="J7" s="6" t="s">
        <v>12</v>
      </c>
      <c r="K7" s="6"/>
      <c r="L7" s="6"/>
      <c r="M7" s="6"/>
    </row>
    <row r="8" spans="1:13">
      <c r="B8" s="1" t="s">
        <v>0</v>
      </c>
      <c r="C8" s="1">
        <v>1</v>
      </c>
      <c r="D8" s="1">
        <v>3</v>
      </c>
      <c r="E8" s="1">
        <v>5</v>
      </c>
      <c r="F8" s="1">
        <v>4</v>
      </c>
      <c r="H8" s="1" t="s">
        <v>13</v>
      </c>
      <c r="I8" s="1">
        <f>SUM(C8:F8)</f>
        <v>13</v>
      </c>
      <c r="J8" s="1">
        <f>C8/$I8</f>
        <v>7.6923076923076927E-2</v>
      </c>
      <c r="K8" s="1">
        <f t="shared" ref="K8:M11" si="0">D8/$I8</f>
        <v>0.23076923076923078</v>
      </c>
      <c r="L8" s="1">
        <f t="shared" si="0"/>
        <v>0.38461538461538464</v>
      </c>
      <c r="M8" s="1">
        <f t="shared" si="0"/>
        <v>0.30769230769230771</v>
      </c>
    </row>
    <row r="9" spans="1:13">
      <c r="B9" s="1" t="s">
        <v>1</v>
      </c>
      <c r="C9" s="1">
        <f>1/3</f>
        <v>0.33333333333333331</v>
      </c>
      <c r="D9" s="1">
        <v>1</v>
      </c>
      <c r="E9" s="1">
        <v>3</v>
      </c>
      <c r="F9" s="1">
        <v>2</v>
      </c>
      <c r="H9" s="1" t="s">
        <v>16</v>
      </c>
      <c r="I9" s="1">
        <f>SUM(C9:F9)</f>
        <v>6.333333333333333</v>
      </c>
      <c r="J9" s="1">
        <f t="shared" ref="J9:J11" si="1">C9/$I9</f>
        <v>5.2631578947368418E-2</v>
      </c>
      <c r="K9" s="1">
        <f t="shared" si="0"/>
        <v>0.15789473684210528</v>
      </c>
      <c r="L9" s="1">
        <f t="shared" si="0"/>
        <v>0.47368421052631582</v>
      </c>
      <c r="M9" s="1">
        <f t="shared" si="0"/>
        <v>0.31578947368421056</v>
      </c>
    </row>
    <row r="10" spans="1:13">
      <c r="B10" s="1" t="s">
        <v>2</v>
      </c>
      <c r="C10" s="1">
        <f>1/5</f>
        <v>0.2</v>
      </c>
      <c r="D10" s="1">
        <f>1/3</f>
        <v>0.33333333333333331</v>
      </c>
      <c r="E10" s="1">
        <v>1</v>
      </c>
      <c r="F10" s="1">
        <v>0.5</v>
      </c>
      <c r="H10" s="1" t="s">
        <v>14</v>
      </c>
      <c r="I10" s="1">
        <f>SUM(C10:F10)</f>
        <v>2.0333333333333332</v>
      </c>
      <c r="J10" s="1">
        <f t="shared" si="1"/>
        <v>9.836065573770493E-2</v>
      </c>
      <c r="K10" s="1">
        <f t="shared" si="0"/>
        <v>0.16393442622950818</v>
      </c>
      <c r="L10" s="1">
        <f t="shared" si="0"/>
        <v>0.49180327868852464</v>
      </c>
      <c r="M10" s="1">
        <f t="shared" si="0"/>
        <v>0.24590163934426232</v>
      </c>
    </row>
    <row r="11" spans="1:13">
      <c r="B11" s="1" t="s">
        <v>3</v>
      </c>
      <c r="C11" s="1">
        <f>1/4</f>
        <v>0.25</v>
      </c>
      <c r="D11" s="1">
        <f>1/2</f>
        <v>0.5</v>
      </c>
      <c r="E11" s="1">
        <v>2</v>
      </c>
      <c r="F11" s="1">
        <v>1</v>
      </c>
      <c r="H11" s="1" t="s">
        <v>15</v>
      </c>
      <c r="I11" s="1">
        <f>SUM(C11:F11)</f>
        <v>3.75</v>
      </c>
      <c r="J11" s="1">
        <f t="shared" si="1"/>
        <v>6.6666666666666666E-2</v>
      </c>
      <c r="K11" s="1">
        <f t="shared" si="0"/>
        <v>0.13333333333333333</v>
      </c>
      <c r="L11" s="1">
        <f t="shared" si="0"/>
        <v>0.53333333333333333</v>
      </c>
      <c r="M11" s="1">
        <f t="shared" si="0"/>
        <v>0.26666666666666666</v>
      </c>
    </row>
    <row r="13" spans="1:13">
      <c r="B13" t="s">
        <v>4</v>
      </c>
      <c r="C13">
        <f>AVERAGE(J8:J11)/4</f>
        <v>1.8411373642176057E-2</v>
      </c>
    </row>
    <row r="14" spans="1:13">
      <c r="B14" t="s">
        <v>5</v>
      </c>
      <c r="C14">
        <f>AVERAGE(K8:K11)/4</f>
        <v>4.2870732948386094E-2</v>
      </c>
    </row>
    <row r="15" spans="1:13">
      <c r="B15" t="s">
        <v>6</v>
      </c>
      <c r="C15">
        <f>AVERAGE(L8:L11)/4</f>
        <v>0.1177147629477224</v>
      </c>
    </row>
    <row r="16" spans="1:13">
      <c r="B16" t="s">
        <v>7</v>
      </c>
      <c r="C16">
        <f>AVERAGE(M8:M11)/4</f>
        <v>7.1003130461715455E-2</v>
      </c>
    </row>
    <row r="18" spans="2:3" ht="18">
      <c r="B18" s="3" t="s">
        <v>18</v>
      </c>
    </row>
    <row r="19" spans="2:3">
      <c r="B19" t="s">
        <v>19</v>
      </c>
      <c r="C19" s="4">
        <f>C8*D$2+D8*D$3+E8*D$4+D$5*F8</f>
        <v>2.75</v>
      </c>
    </row>
    <row r="20" spans="2:3">
      <c r="B20" t="s">
        <v>20</v>
      </c>
      <c r="C20" s="4">
        <f t="shared" ref="C20:C22" si="2">C9*D$2+D9*D$3+E9*D$4+D$5*F9</f>
        <v>1.2833333333333334</v>
      </c>
    </row>
    <row r="21" spans="2:3">
      <c r="B21" t="s">
        <v>21</v>
      </c>
      <c r="C21" s="4">
        <f t="shared" si="2"/>
        <v>0.43833333333333335</v>
      </c>
    </row>
    <row r="22" spans="2:3">
      <c r="B22" t="s">
        <v>22</v>
      </c>
      <c r="C22" s="4">
        <f t="shared" si="2"/>
        <v>0.77500000000000002</v>
      </c>
    </row>
    <row r="24" spans="2:3" ht="18">
      <c r="B24" s="5" t="s">
        <v>23</v>
      </c>
    </row>
    <row r="26" spans="2:3">
      <c r="B26" t="s">
        <v>24</v>
      </c>
      <c r="C26">
        <f>1/4*(C19/D2+C20/D3+C21/D4+C22/D5)</f>
        <v>4.8416666666666668</v>
      </c>
    </row>
    <row r="28" spans="2:3">
      <c r="B28" t="s">
        <v>25</v>
      </c>
      <c r="C28">
        <f>(C26-4)/(4-1)</f>
        <v>0.28055555555555561</v>
      </c>
    </row>
    <row r="30" spans="2:3" ht="18">
      <c r="B30" s="2" t="s">
        <v>26</v>
      </c>
    </row>
    <row r="32" spans="2:3">
      <c r="B32" t="s">
        <v>27</v>
      </c>
    </row>
    <row r="34" spans="2:11">
      <c r="B34" t="s">
        <v>28</v>
      </c>
      <c r="C34">
        <f>C28/0.9</f>
        <v>0.31172839506172845</v>
      </c>
    </row>
    <row r="36" spans="2:11" ht="15" customHeight="1">
      <c r="F36" s="7" t="s">
        <v>29</v>
      </c>
      <c r="G36" s="7"/>
      <c r="H36" s="7"/>
      <c r="I36" s="7"/>
      <c r="J36" s="7"/>
      <c r="K36" s="7"/>
    </row>
    <row r="37" spans="2:11">
      <c r="F37" s="7"/>
      <c r="G37" s="7"/>
      <c r="H37" s="7"/>
      <c r="I37" s="7"/>
      <c r="J37" s="7"/>
      <c r="K37" s="7"/>
    </row>
    <row r="38" spans="2:11">
      <c r="F38" s="7"/>
      <c r="G38" s="7"/>
      <c r="H38" s="7"/>
      <c r="I38" s="7"/>
      <c r="J38" s="7"/>
      <c r="K38" s="7"/>
    </row>
    <row r="39" spans="2:11">
      <c r="F39" s="7"/>
      <c r="G39" s="7"/>
      <c r="H39" s="7"/>
      <c r="I39" s="7"/>
      <c r="J39" s="7"/>
      <c r="K39" s="7"/>
    </row>
    <row r="40" spans="2:11">
      <c r="F40" s="7"/>
      <c r="G40" s="7"/>
      <c r="H40" s="7"/>
      <c r="I40" s="7"/>
      <c r="J40" s="7"/>
      <c r="K40" s="7"/>
    </row>
    <row r="41" spans="2:11">
      <c r="F41" s="7"/>
      <c r="G41" s="7"/>
      <c r="H41" s="7"/>
      <c r="I41" s="7"/>
      <c r="J41" s="7"/>
      <c r="K41" s="7"/>
    </row>
    <row r="42" spans="2:11">
      <c r="F42" s="7"/>
      <c r="G42" s="7"/>
      <c r="H42" s="7"/>
      <c r="I42" s="7"/>
      <c r="J42" s="7"/>
      <c r="K42" s="7"/>
    </row>
    <row r="43" spans="2:11">
      <c r="F43" s="7"/>
      <c r="G43" s="7"/>
      <c r="H43" s="7"/>
      <c r="I43" s="7"/>
      <c r="J43" s="7"/>
      <c r="K43" s="7"/>
    </row>
    <row r="44" spans="2:11">
      <c r="F44" s="7"/>
      <c r="G44" s="7"/>
      <c r="H44" s="7"/>
      <c r="I44" s="7"/>
      <c r="J44" s="7"/>
      <c r="K44" s="7"/>
    </row>
    <row r="45" spans="2:11">
      <c r="F45" s="7"/>
      <c r="G45" s="7"/>
      <c r="H45" s="7"/>
      <c r="I45" s="7"/>
      <c r="J45" s="7"/>
      <c r="K45" s="7"/>
    </row>
    <row r="46" spans="2:11">
      <c r="F46" s="7"/>
      <c r="G46" s="7"/>
      <c r="H46" s="7"/>
      <c r="I46" s="7"/>
      <c r="J46" s="7"/>
      <c r="K46" s="7"/>
    </row>
    <row r="47" spans="2:11">
      <c r="F47" s="7"/>
      <c r="G47" s="7"/>
      <c r="H47" s="7"/>
      <c r="I47" s="7"/>
      <c r="J47" s="7"/>
      <c r="K47" s="7"/>
    </row>
    <row r="48" spans="2:11">
      <c r="F48" s="7"/>
      <c r="G48" s="7"/>
      <c r="H48" s="7"/>
      <c r="I48" s="7"/>
      <c r="J48" s="7"/>
      <c r="K48" s="7"/>
    </row>
    <row r="53" spans="2:18">
      <c r="D53">
        <f>1/3</f>
        <v>0.33333333333333331</v>
      </c>
    </row>
    <row r="58" spans="2:18" ht="16.5" thickBot="1">
      <c r="K58" s="17" t="s">
        <v>41</v>
      </c>
    </row>
    <row r="59" spans="2:18" ht="32.25" thickBot="1">
      <c r="B59" s="12"/>
      <c r="C59" s="13" t="s">
        <v>35</v>
      </c>
      <c r="D59" s="13" t="s">
        <v>36</v>
      </c>
      <c r="E59" s="13" t="s">
        <v>37</v>
      </c>
      <c r="F59" s="13" t="s">
        <v>38</v>
      </c>
      <c r="G59" s="13" t="s">
        <v>39</v>
      </c>
      <c r="H59" s="13" t="s">
        <v>40</v>
      </c>
      <c r="I59" s="13" t="s">
        <v>11</v>
      </c>
      <c r="J59" s="18" t="s">
        <v>42</v>
      </c>
      <c r="K59" s="12"/>
      <c r="L59" s="13" t="s">
        <v>35</v>
      </c>
      <c r="M59" s="13" t="s">
        <v>36</v>
      </c>
      <c r="N59" s="13" t="s">
        <v>37</v>
      </c>
      <c r="O59" s="13" t="s">
        <v>38</v>
      </c>
      <c r="P59" s="13" t="s">
        <v>39</v>
      </c>
      <c r="Q59" s="13" t="s">
        <v>40</v>
      </c>
      <c r="R59" s="13" t="s">
        <v>11</v>
      </c>
    </row>
    <row r="60" spans="2:18" ht="18" thickBot="1">
      <c r="B60" s="14" t="s">
        <v>35</v>
      </c>
      <c r="C60" s="15">
        <v>1</v>
      </c>
      <c r="D60" s="15">
        <v>3</v>
      </c>
      <c r="E60" s="15">
        <v>5</v>
      </c>
      <c r="F60" s="15">
        <v>4</v>
      </c>
      <c r="G60" s="15">
        <v>3</v>
      </c>
      <c r="H60" s="15">
        <v>2</v>
      </c>
      <c r="I60" s="15">
        <f>SUM(C60:H60)</f>
        <v>18</v>
      </c>
      <c r="J60">
        <f>I60/I$66</f>
        <v>0.37279944770452189</v>
      </c>
      <c r="K60" s="14" t="s">
        <v>35</v>
      </c>
      <c r="L60" s="15">
        <f>C60/C$66</f>
        <v>0.38216560509554137</v>
      </c>
      <c r="M60" s="15">
        <f>D60/D$66</f>
        <v>0.48648648648648651</v>
      </c>
      <c r="N60" s="15">
        <f t="shared" ref="M60:Q65" si="3">E60/E$66</f>
        <v>0.43478260869565216</v>
      </c>
      <c r="O60" s="15">
        <f t="shared" si="3"/>
        <v>0.33333333333333331</v>
      </c>
      <c r="P60" s="15">
        <f t="shared" si="3"/>
        <v>0.33333333333333331</v>
      </c>
      <c r="Q60" s="15">
        <f t="shared" si="3"/>
        <v>0.2857142857142857</v>
      </c>
      <c r="R60" s="15">
        <f>SUM(L60:Q60)/6</f>
        <v>0.37596927544310538</v>
      </c>
    </row>
    <row r="61" spans="2:18" ht="18" thickBot="1">
      <c r="B61" s="14" t="s">
        <v>36</v>
      </c>
      <c r="C61" s="15">
        <f>1/3</f>
        <v>0.33333333333333331</v>
      </c>
      <c r="D61" s="15">
        <v>1</v>
      </c>
      <c r="E61" s="15">
        <v>3</v>
      </c>
      <c r="F61" s="15">
        <v>3</v>
      </c>
      <c r="G61" s="15">
        <v>2</v>
      </c>
      <c r="H61" s="15">
        <v>1</v>
      </c>
      <c r="I61" s="15">
        <f t="shared" ref="I61:I65" si="4">SUM(C61:H61)</f>
        <v>10.333333333333332</v>
      </c>
      <c r="J61">
        <f t="shared" ref="J61:J65" si="5">I61/I$66</f>
        <v>0.21401449775629958</v>
      </c>
      <c r="K61" s="14" t="s">
        <v>36</v>
      </c>
      <c r="L61" s="15">
        <f t="shared" ref="L61:L65" si="6">C61/C$66</f>
        <v>0.12738853503184713</v>
      </c>
      <c r="M61" s="15">
        <f t="shared" ref="M61:M65" si="7">D61/D$66</f>
        <v>0.16216216216216217</v>
      </c>
      <c r="N61" s="15">
        <f t="shared" si="3"/>
        <v>0.2608695652173913</v>
      </c>
      <c r="O61" s="15">
        <f t="shared" si="3"/>
        <v>0.25</v>
      </c>
      <c r="P61" s="15">
        <f t="shared" si="3"/>
        <v>0.22222222222222221</v>
      </c>
      <c r="Q61" s="15">
        <f t="shared" si="3"/>
        <v>0.14285714285714285</v>
      </c>
      <c r="R61" s="15">
        <f>SUM(L61:Q61)/6</f>
        <v>0.1942499379151276</v>
      </c>
    </row>
    <row r="62" spans="2:18" ht="18" thickBot="1">
      <c r="B62" s="14" t="s">
        <v>37</v>
      </c>
      <c r="C62" s="15">
        <f>1/5</f>
        <v>0.2</v>
      </c>
      <c r="D62" s="15">
        <f>1/3</f>
        <v>0.33333333333333331</v>
      </c>
      <c r="E62" s="15">
        <v>1</v>
      </c>
      <c r="F62" s="15">
        <v>2</v>
      </c>
      <c r="G62" s="15">
        <v>1</v>
      </c>
      <c r="H62" s="15">
        <v>1</v>
      </c>
      <c r="I62" s="15">
        <f t="shared" si="4"/>
        <v>5.5333333333333332</v>
      </c>
      <c r="J62">
        <f t="shared" si="5"/>
        <v>0.11460131170176042</v>
      </c>
      <c r="K62" s="14" t="s">
        <v>37</v>
      </c>
      <c r="L62" s="15">
        <f t="shared" si="6"/>
        <v>7.6433121019108277E-2</v>
      </c>
      <c r="M62" s="15">
        <f t="shared" si="7"/>
        <v>5.4054054054054057E-2</v>
      </c>
      <c r="N62" s="15">
        <f t="shared" si="3"/>
        <v>8.6956521739130432E-2</v>
      </c>
      <c r="O62" s="15">
        <f>F62/F$66</f>
        <v>0.16666666666666666</v>
      </c>
      <c r="P62" s="15">
        <f t="shared" si="3"/>
        <v>0.1111111111111111</v>
      </c>
      <c r="Q62" s="15">
        <f t="shared" si="3"/>
        <v>0.14285714285714285</v>
      </c>
      <c r="R62" s="15">
        <f t="shared" ref="R62:R65" si="8">SUM(L62:Q62)/6</f>
        <v>0.10634643624120223</v>
      </c>
    </row>
    <row r="63" spans="2:18" ht="18" thickBot="1">
      <c r="B63" s="14" t="s">
        <v>38</v>
      </c>
      <c r="C63" s="15">
        <f>1/4</f>
        <v>0.25</v>
      </c>
      <c r="D63" s="15">
        <f>1/3</f>
        <v>0.33333333333333331</v>
      </c>
      <c r="E63" s="15">
        <f>1/2</f>
        <v>0.5</v>
      </c>
      <c r="F63" s="15">
        <v>1</v>
      </c>
      <c r="G63" s="15">
        <v>1</v>
      </c>
      <c r="H63" s="15">
        <v>1</v>
      </c>
      <c r="I63" s="15">
        <f t="shared" si="4"/>
        <v>4.083333333333333</v>
      </c>
      <c r="J63">
        <f t="shared" si="5"/>
        <v>8.4570245081118378E-2</v>
      </c>
      <c r="K63" s="14" t="s">
        <v>38</v>
      </c>
      <c r="L63" s="15">
        <f t="shared" si="6"/>
        <v>9.5541401273885343E-2</v>
      </c>
      <c r="M63" s="15">
        <f t="shared" si="7"/>
        <v>5.4054054054054057E-2</v>
      </c>
      <c r="N63" s="15">
        <f t="shared" si="3"/>
        <v>4.3478260869565216E-2</v>
      </c>
      <c r="O63" s="15">
        <f t="shared" si="3"/>
        <v>8.3333333333333329E-2</v>
      </c>
      <c r="P63" s="15">
        <f t="shared" si="3"/>
        <v>0.1111111111111111</v>
      </c>
      <c r="Q63" s="15">
        <f t="shared" si="3"/>
        <v>0.14285714285714285</v>
      </c>
      <c r="R63" s="15">
        <f t="shared" si="8"/>
        <v>8.8395883916515317E-2</v>
      </c>
    </row>
    <row r="64" spans="2:18" ht="18" thickBot="1">
      <c r="B64" s="14" t="s">
        <v>39</v>
      </c>
      <c r="C64" s="15">
        <f>1/3</f>
        <v>0.33333333333333331</v>
      </c>
      <c r="D64" s="15">
        <f>1/2</f>
        <v>0.5</v>
      </c>
      <c r="E64" s="15">
        <v>1</v>
      </c>
      <c r="F64" s="15">
        <v>1</v>
      </c>
      <c r="G64" s="15">
        <v>1</v>
      </c>
      <c r="H64" s="15">
        <v>1</v>
      </c>
      <c r="I64" s="15">
        <f t="shared" si="4"/>
        <v>4.833333333333333</v>
      </c>
      <c r="J64">
        <f t="shared" si="5"/>
        <v>0.10010355540214012</v>
      </c>
      <c r="K64" s="14" t="s">
        <v>39</v>
      </c>
      <c r="L64" s="15">
        <f t="shared" si="6"/>
        <v>0.12738853503184713</v>
      </c>
      <c r="M64" s="15">
        <f t="shared" si="7"/>
        <v>8.1081081081081086E-2</v>
      </c>
      <c r="N64" s="15">
        <f t="shared" si="3"/>
        <v>8.6956521739130432E-2</v>
      </c>
      <c r="O64" s="15">
        <f t="shared" si="3"/>
        <v>8.3333333333333329E-2</v>
      </c>
      <c r="P64" s="15">
        <f t="shared" si="3"/>
        <v>0.1111111111111111</v>
      </c>
      <c r="Q64" s="15">
        <f t="shared" si="3"/>
        <v>0.14285714285714285</v>
      </c>
      <c r="R64" s="15">
        <f t="shared" si="8"/>
        <v>0.10545462085894097</v>
      </c>
    </row>
    <row r="65" spans="2:18" ht="18" thickBot="1">
      <c r="B65" s="14" t="s">
        <v>40</v>
      </c>
      <c r="C65" s="15">
        <f>1/2</f>
        <v>0.5</v>
      </c>
      <c r="D65" s="15">
        <v>1</v>
      </c>
      <c r="E65" s="15">
        <v>1</v>
      </c>
      <c r="F65" s="15">
        <v>1</v>
      </c>
      <c r="G65" s="15">
        <v>1</v>
      </c>
      <c r="H65" s="15">
        <v>1</v>
      </c>
      <c r="I65" s="15">
        <f t="shared" si="4"/>
        <v>5.5</v>
      </c>
      <c r="J65">
        <f t="shared" si="5"/>
        <v>0.11391094235415947</v>
      </c>
      <c r="K65" s="14" t="s">
        <v>40</v>
      </c>
      <c r="L65" s="15">
        <f t="shared" si="6"/>
        <v>0.19108280254777069</v>
      </c>
      <c r="M65" s="15">
        <f t="shared" si="7"/>
        <v>0.16216216216216217</v>
      </c>
      <c r="N65" s="15">
        <f t="shared" si="3"/>
        <v>8.6956521739130432E-2</v>
      </c>
      <c r="O65" s="15">
        <f t="shared" si="3"/>
        <v>8.3333333333333329E-2</v>
      </c>
      <c r="P65" s="15">
        <f t="shared" si="3"/>
        <v>0.1111111111111111</v>
      </c>
      <c r="Q65" s="15">
        <f t="shared" si="3"/>
        <v>0.14285714285714285</v>
      </c>
      <c r="R65" s="15">
        <f t="shared" si="8"/>
        <v>0.12958384562510841</v>
      </c>
    </row>
    <row r="66" spans="2:18" ht="15.75">
      <c r="B66" s="16" t="s">
        <v>11</v>
      </c>
      <c r="C66">
        <f>SUM(C60:C65)</f>
        <v>2.6166666666666667</v>
      </c>
      <c r="D66">
        <f t="shared" ref="D66:J66" si="9">SUM(D60:D65)</f>
        <v>6.1666666666666661</v>
      </c>
      <c r="E66">
        <f t="shared" si="9"/>
        <v>11.5</v>
      </c>
      <c r="F66">
        <f t="shared" si="9"/>
        <v>12</v>
      </c>
      <c r="G66">
        <f t="shared" si="9"/>
        <v>9</v>
      </c>
      <c r="H66">
        <f t="shared" si="9"/>
        <v>7</v>
      </c>
      <c r="I66">
        <f t="shared" si="9"/>
        <v>48.283333333333339</v>
      </c>
      <c r="J66">
        <f t="shared" si="9"/>
        <v>0.99999999999999989</v>
      </c>
      <c r="R66" s="19">
        <f>SUM(R60:R65)</f>
        <v>0.99999999999999989</v>
      </c>
    </row>
    <row r="69" spans="2:18">
      <c r="D69" s="22" t="s">
        <v>49</v>
      </c>
      <c r="E69" s="22"/>
      <c r="F69" s="22"/>
      <c r="G69" s="22"/>
      <c r="H69" s="22"/>
    </row>
    <row r="70" spans="2:18" ht="15.75" thickBot="1"/>
    <row r="71" spans="2:18" ht="32.25" thickBot="1">
      <c r="B71" s="12"/>
      <c r="C71" s="13" t="s">
        <v>44</v>
      </c>
      <c r="D71" s="13" t="s">
        <v>43</v>
      </c>
      <c r="E71" s="13" t="s">
        <v>45</v>
      </c>
      <c r="F71" s="13" t="s">
        <v>46</v>
      </c>
      <c r="G71" s="13" t="s">
        <v>47</v>
      </c>
      <c r="H71" s="13"/>
      <c r="I71" s="13" t="s">
        <v>11</v>
      </c>
      <c r="J71" s="18" t="s">
        <v>42</v>
      </c>
      <c r="K71" s="12"/>
      <c r="L71" s="13" t="s">
        <v>44</v>
      </c>
      <c r="M71" s="13" t="s">
        <v>43</v>
      </c>
      <c r="N71" s="13" t="s">
        <v>45</v>
      </c>
      <c r="O71" s="13" t="s">
        <v>46</v>
      </c>
      <c r="P71" s="13" t="s">
        <v>47</v>
      </c>
      <c r="Q71" s="13"/>
      <c r="R71" s="13" t="s">
        <v>11</v>
      </c>
    </row>
    <row r="72" spans="2:18" ht="18" thickBot="1">
      <c r="B72" s="14" t="s">
        <v>48</v>
      </c>
      <c r="C72" s="11">
        <v>1</v>
      </c>
      <c r="D72" s="4">
        <f>H81/$G$82</f>
        <v>1.0588235294117647</v>
      </c>
      <c r="E72" s="4">
        <f>I81/$G$82</f>
        <v>0.94117647058823528</v>
      </c>
      <c r="F72" s="4">
        <f t="shared" ref="F72:G72" si="10">J81/$G$82</f>
        <v>0.88235294117647056</v>
      </c>
      <c r="G72" s="4">
        <f t="shared" si="10"/>
        <v>0.82352941176470584</v>
      </c>
      <c r="H72" s="15"/>
      <c r="I72" s="15">
        <f>SUM(C72:H72)</f>
        <v>4.7058823529411766</v>
      </c>
      <c r="J72" s="4">
        <f>I72/I$78</f>
        <v>0.18675658650461335</v>
      </c>
      <c r="K72" s="14" t="s">
        <v>35</v>
      </c>
      <c r="L72" s="15">
        <f>C72/C$78</f>
        <v>0.18675658650461333</v>
      </c>
      <c r="M72" s="15">
        <f t="shared" ref="M72:P76" si="11">D72/D$78</f>
        <v>0.18675658650461335</v>
      </c>
      <c r="N72" s="15">
        <f t="shared" si="11"/>
        <v>0.18675658650461333</v>
      </c>
      <c r="O72" s="15">
        <f t="shared" si="11"/>
        <v>0.18675658650461333</v>
      </c>
      <c r="P72" s="15">
        <f t="shared" si="11"/>
        <v>0.18675658650461333</v>
      </c>
      <c r="Q72" s="15"/>
      <c r="R72" s="11">
        <f>SUM(L72:Q72)/5</f>
        <v>0.18675658650461335</v>
      </c>
    </row>
    <row r="73" spans="2:18" ht="18" thickBot="1">
      <c r="B73" s="14" t="s">
        <v>43</v>
      </c>
      <c r="C73" s="4">
        <f>G82/$H81</f>
        <v>0.94444444444444442</v>
      </c>
      <c r="D73" s="4">
        <f t="shared" ref="D73" si="12">H82/$H81</f>
        <v>1</v>
      </c>
      <c r="E73" s="4">
        <f>I82/$H81</f>
        <v>0.88888888888888884</v>
      </c>
      <c r="F73" s="4">
        <f>J82/$H81</f>
        <v>0.83333333333333337</v>
      </c>
      <c r="G73" s="4">
        <f>K82/$H81</f>
        <v>0.77777777777777779</v>
      </c>
      <c r="H73" s="15"/>
      <c r="I73" s="15">
        <f t="shared" ref="I73:I77" si="13">SUM(C73:H73)</f>
        <v>4.4444444444444446</v>
      </c>
      <c r="J73" s="4">
        <f t="shared" ref="J73:J76" si="14">I73/I$78</f>
        <v>0.17638122058769037</v>
      </c>
      <c r="K73" s="14" t="s">
        <v>36</v>
      </c>
      <c r="L73" s="15">
        <f t="shared" ref="L73:L76" si="15">C73/C$78</f>
        <v>0.17638122058769037</v>
      </c>
      <c r="M73" s="15">
        <f t="shared" si="11"/>
        <v>0.17638122058769037</v>
      </c>
      <c r="N73" s="15">
        <f t="shared" si="11"/>
        <v>0.17638122058769037</v>
      </c>
      <c r="O73" s="15">
        <f t="shared" si="11"/>
        <v>0.17638122058769037</v>
      </c>
      <c r="P73" s="15">
        <f t="shared" si="11"/>
        <v>0.17638122058769037</v>
      </c>
      <c r="Q73" s="15"/>
      <c r="R73" s="11">
        <f t="shared" ref="R73:R76" si="16">SUM(L73:Q73)/5</f>
        <v>0.17638122058769037</v>
      </c>
    </row>
    <row r="74" spans="2:18" ht="18" thickBot="1">
      <c r="B74" s="14" t="s">
        <v>45</v>
      </c>
      <c r="C74" s="11">
        <f>G83/$I83</f>
        <v>1.0625</v>
      </c>
      <c r="D74" s="11">
        <f>H83/$I83</f>
        <v>1.125</v>
      </c>
      <c r="E74" s="11">
        <f>I83/$I83</f>
        <v>1</v>
      </c>
      <c r="F74" s="11">
        <f>J83/$I83</f>
        <v>0.9375</v>
      </c>
      <c r="G74" s="11">
        <f t="shared" ref="G74" si="17">K83/$I83</f>
        <v>0.875</v>
      </c>
      <c r="H74" s="15"/>
      <c r="I74" s="15">
        <f t="shared" si="13"/>
        <v>5</v>
      </c>
      <c r="J74" s="4">
        <f t="shared" si="14"/>
        <v>0.19842887316115168</v>
      </c>
      <c r="K74" s="14" t="s">
        <v>37</v>
      </c>
      <c r="L74" s="15">
        <f t="shared" si="15"/>
        <v>0.19842887316115168</v>
      </c>
      <c r="M74" s="15">
        <f>D74/D$78</f>
        <v>0.19842887316115168</v>
      </c>
      <c r="N74" s="15">
        <f t="shared" si="11"/>
        <v>0.19842887316115168</v>
      </c>
      <c r="O74" s="15">
        <f t="shared" si="11"/>
        <v>0.19842887316115168</v>
      </c>
      <c r="P74" s="15">
        <f t="shared" si="11"/>
        <v>0.19842887316115168</v>
      </c>
      <c r="Q74" s="15"/>
      <c r="R74" s="11">
        <f t="shared" si="16"/>
        <v>0.19842887316115168</v>
      </c>
    </row>
    <row r="75" spans="2:18" ht="18" thickBot="1">
      <c r="B75" s="14" t="s">
        <v>46</v>
      </c>
      <c r="C75" s="11">
        <f>G84/$J84</f>
        <v>1.1333333333333333</v>
      </c>
      <c r="D75" s="11">
        <f t="shared" ref="D75:G75" si="18">H84/$J84</f>
        <v>1.2</v>
      </c>
      <c r="E75" s="11">
        <f t="shared" si="18"/>
        <v>1.0666666666666667</v>
      </c>
      <c r="F75" s="11">
        <f t="shared" si="18"/>
        <v>1</v>
      </c>
      <c r="G75" s="11">
        <f t="shared" si="18"/>
        <v>0.93333333333333335</v>
      </c>
      <c r="H75" s="15"/>
      <c r="I75" s="15">
        <f t="shared" si="13"/>
        <v>5.333333333333333</v>
      </c>
      <c r="J75" s="4">
        <f t="shared" si="14"/>
        <v>0.21165746470522845</v>
      </c>
      <c r="K75" s="14" t="s">
        <v>38</v>
      </c>
      <c r="L75" s="15">
        <f t="shared" si="15"/>
        <v>0.21165746470522845</v>
      </c>
      <c r="M75" s="15">
        <f t="shared" si="11"/>
        <v>0.21165746470522845</v>
      </c>
      <c r="N75" s="15">
        <f t="shared" si="11"/>
        <v>0.21165746470522845</v>
      </c>
      <c r="O75" s="15">
        <f>F75/F$78</f>
        <v>0.21165746470522845</v>
      </c>
      <c r="P75" s="15">
        <f t="shared" si="11"/>
        <v>0.21165746470522845</v>
      </c>
      <c r="Q75" s="15"/>
      <c r="R75" s="11">
        <f t="shared" si="16"/>
        <v>0.21165746470522845</v>
      </c>
    </row>
    <row r="76" spans="2:18" ht="18" thickBot="1">
      <c r="B76" s="14" t="s">
        <v>47</v>
      </c>
      <c r="C76" s="11">
        <f>G85/$K85</f>
        <v>1.2142857142857142</v>
      </c>
      <c r="D76" s="11">
        <f t="shared" ref="D76:G76" si="19">H85/$K85</f>
        <v>1.2857142857142858</v>
      </c>
      <c r="E76" s="11">
        <f t="shared" si="19"/>
        <v>1.1428571428571428</v>
      </c>
      <c r="F76" s="11">
        <f t="shared" si="19"/>
        <v>1.0714285714285714</v>
      </c>
      <c r="G76" s="11">
        <f t="shared" si="19"/>
        <v>1</v>
      </c>
      <c r="H76" s="15"/>
      <c r="I76" s="15">
        <f t="shared" si="13"/>
        <v>5.7142857142857144</v>
      </c>
      <c r="J76" s="4">
        <f t="shared" si="14"/>
        <v>0.2267758550413162</v>
      </c>
      <c r="K76" s="14" t="s">
        <v>39</v>
      </c>
      <c r="L76" s="15">
        <f t="shared" si="15"/>
        <v>0.22677585504131617</v>
      </c>
      <c r="M76" s="15">
        <f t="shared" si="11"/>
        <v>0.2267758550413162</v>
      </c>
      <c r="N76" s="15">
        <f t="shared" si="11"/>
        <v>0.22677585504131617</v>
      </c>
      <c r="O76" s="15">
        <f t="shared" si="11"/>
        <v>0.2267758550413162</v>
      </c>
      <c r="P76" s="15">
        <f t="shared" si="11"/>
        <v>0.2267758550413162</v>
      </c>
      <c r="Q76" s="15"/>
      <c r="R76" s="11">
        <f t="shared" si="16"/>
        <v>0.2267758550413162</v>
      </c>
    </row>
    <row r="77" spans="2:18" ht="16.5" thickBot="1">
      <c r="B77" s="14"/>
      <c r="C77" s="15"/>
      <c r="D77" s="15"/>
      <c r="E77" s="15"/>
      <c r="F77" s="15"/>
      <c r="G77" s="15"/>
      <c r="H77" s="15"/>
      <c r="I77" s="15"/>
      <c r="K77" s="14"/>
      <c r="L77" s="15"/>
      <c r="M77" s="15"/>
      <c r="N77" s="15"/>
      <c r="O77" s="15"/>
      <c r="P77" s="15"/>
      <c r="Q77" s="15"/>
      <c r="R77" s="15"/>
    </row>
    <row r="78" spans="2:18" ht="15.75">
      <c r="B78" s="16" t="s">
        <v>11</v>
      </c>
      <c r="C78" s="4">
        <f>SUM(C72:C77)</f>
        <v>5.3545634920634919</v>
      </c>
      <c r="D78" s="4">
        <f t="shared" ref="D78" si="20">SUM(D72:D77)</f>
        <v>5.6695378151260503</v>
      </c>
      <c r="E78" s="4">
        <f t="shared" ref="E78" si="21">SUM(E72:E77)</f>
        <v>5.0395891690009336</v>
      </c>
      <c r="F78" s="4">
        <f t="shared" ref="F78" si="22">SUM(F72:F77)</f>
        <v>4.7246148459383752</v>
      </c>
      <c r="G78" s="4">
        <f t="shared" ref="G78" si="23">SUM(G72:G77)</f>
        <v>4.4096405228758169</v>
      </c>
      <c r="I78">
        <f t="shared" ref="I78" si="24">SUM(I72:I77)</f>
        <v>25.197945845004668</v>
      </c>
      <c r="J78">
        <f t="shared" ref="J78" si="25">SUM(J72:J77)</f>
        <v>1</v>
      </c>
      <c r="R78" s="19">
        <f>SUM(R72:R77)</f>
        <v>1</v>
      </c>
    </row>
    <row r="80" spans="2:18" ht="15.75" thickBot="1"/>
    <row r="81" spans="2:18" ht="16.5" thickBot="1">
      <c r="D81">
        <f>900/850</f>
        <v>1.0588235294117647</v>
      </c>
      <c r="E81">
        <f>850/900</f>
        <v>0.94444444444444442</v>
      </c>
      <c r="G81" s="20">
        <v>850</v>
      </c>
      <c r="H81" s="21">
        <v>900</v>
      </c>
      <c r="I81" s="21">
        <v>800</v>
      </c>
      <c r="J81" s="21">
        <v>750</v>
      </c>
      <c r="K81" s="21">
        <v>700</v>
      </c>
    </row>
    <row r="82" spans="2:18" ht="16.5" thickBot="1">
      <c r="D82">
        <f>800/850</f>
        <v>0.94117647058823528</v>
      </c>
      <c r="E82">
        <f>800/900</f>
        <v>0.88888888888888884</v>
      </c>
      <c r="G82" s="20">
        <v>850</v>
      </c>
      <c r="H82" s="21">
        <v>900</v>
      </c>
      <c r="I82" s="21">
        <v>800</v>
      </c>
      <c r="J82" s="21">
        <v>750</v>
      </c>
      <c r="K82" s="21">
        <v>700</v>
      </c>
    </row>
    <row r="83" spans="2:18" ht="16.5" thickBot="1">
      <c r="D83">
        <f>750/850</f>
        <v>0.88235294117647056</v>
      </c>
      <c r="E83">
        <f>750/900</f>
        <v>0.83333333333333337</v>
      </c>
      <c r="G83" s="20">
        <v>850</v>
      </c>
      <c r="H83" s="21">
        <v>900</v>
      </c>
      <c r="I83" s="21">
        <v>800</v>
      </c>
      <c r="J83" s="21">
        <v>750</v>
      </c>
      <c r="K83" s="21">
        <v>700</v>
      </c>
    </row>
    <row r="84" spans="2:18" ht="16.5" thickBot="1">
      <c r="D84">
        <f>700/850</f>
        <v>0.82352941176470584</v>
      </c>
      <c r="E84">
        <f>700/900</f>
        <v>0.77777777777777779</v>
      </c>
      <c r="G84" s="20">
        <v>850</v>
      </c>
      <c r="H84" s="21">
        <v>900</v>
      </c>
      <c r="I84" s="21">
        <v>800</v>
      </c>
      <c r="J84" s="21">
        <v>750</v>
      </c>
      <c r="K84" s="21">
        <v>700</v>
      </c>
    </row>
    <row r="85" spans="2:18" ht="16.5" thickBot="1">
      <c r="G85" s="20">
        <v>850</v>
      </c>
      <c r="H85" s="21">
        <v>900</v>
      </c>
      <c r="I85" s="21">
        <v>800</v>
      </c>
      <c r="J85" s="21">
        <v>750</v>
      </c>
      <c r="K85" s="21">
        <v>700</v>
      </c>
    </row>
    <row r="86" spans="2:18" ht="15.75" thickBot="1"/>
    <row r="87" spans="2:18" ht="16.5" thickBot="1">
      <c r="G87" s="20">
        <v>1</v>
      </c>
      <c r="H87" s="21">
        <v>900</v>
      </c>
      <c r="I87" s="21">
        <v>800</v>
      </c>
      <c r="J87" s="21">
        <v>750</v>
      </c>
      <c r="K87" s="21">
        <v>700</v>
      </c>
    </row>
    <row r="88" spans="2:18" ht="16.5" thickBot="1">
      <c r="G88" s="20">
        <v>850</v>
      </c>
      <c r="H88" s="21">
        <v>1</v>
      </c>
      <c r="I88" s="21">
        <v>800</v>
      </c>
      <c r="J88" s="21">
        <v>750</v>
      </c>
      <c r="K88" s="21">
        <v>700</v>
      </c>
    </row>
    <row r="89" spans="2:18" ht="16.5" thickBot="1">
      <c r="G89" s="20">
        <v>850</v>
      </c>
      <c r="H89" s="21">
        <v>900</v>
      </c>
      <c r="I89" s="21">
        <v>1</v>
      </c>
      <c r="J89" s="21">
        <v>750</v>
      </c>
      <c r="K89" s="21">
        <v>700</v>
      </c>
    </row>
    <row r="90" spans="2:18" ht="16.5" thickBot="1">
      <c r="G90" s="20">
        <v>850</v>
      </c>
      <c r="H90" s="21">
        <v>900</v>
      </c>
      <c r="I90" s="21">
        <v>800</v>
      </c>
      <c r="J90" s="21">
        <v>1</v>
      </c>
      <c r="K90" s="21">
        <v>700</v>
      </c>
    </row>
    <row r="91" spans="2:18" ht="16.5" thickBot="1">
      <c r="G91" s="20">
        <v>850</v>
      </c>
      <c r="H91" s="21">
        <v>900</v>
      </c>
      <c r="I91" s="21">
        <v>800</v>
      </c>
      <c r="J91" s="21">
        <v>750</v>
      </c>
      <c r="K91" s="21">
        <v>1</v>
      </c>
    </row>
    <row r="93" spans="2:18" ht="15.75" thickBot="1">
      <c r="D93" s="23" t="s">
        <v>50</v>
      </c>
      <c r="E93" s="23"/>
      <c r="F93" s="23"/>
      <c r="G93" s="23"/>
    </row>
    <row r="94" spans="2:18" ht="32.25" thickBot="1">
      <c r="B94" s="12"/>
      <c r="C94" s="13" t="s">
        <v>44</v>
      </c>
      <c r="D94" s="13" t="s">
        <v>43</v>
      </c>
      <c r="E94" s="13" t="s">
        <v>45</v>
      </c>
      <c r="F94" s="13" t="s">
        <v>46</v>
      </c>
      <c r="G94" s="13" t="s">
        <v>47</v>
      </c>
      <c r="H94" s="13"/>
      <c r="I94" s="13" t="s">
        <v>11</v>
      </c>
      <c r="J94" s="18" t="s">
        <v>42</v>
      </c>
      <c r="K94" s="12"/>
      <c r="L94" s="13" t="s">
        <v>44</v>
      </c>
      <c r="M94" s="13" t="s">
        <v>43</v>
      </c>
      <c r="N94" s="13" t="s">
        <v>45</v>
      </c>
      <c r="O94" s="13" t="s">
        <v>46</v>
      </c>
      <c r="P94" s="13" t="s">
        <v>47</v>
      </c>
      <c r="Q94" s="13"/>
      <c r="R94" s="13" t="s">
        <v>11</v>
      </c>
    </row>
    <row r="95" spans="2:18" ht="18" thickBot="1">
      <c r="B95" s="14" t="s">
        <v>48</v>
      </c>
      <c r="C95" s="4">
        <f>$G104/G104</f>
        <v>1</v>
      </c>
      <c r="D95" s="4">
        <f>H104/$G104</f>
        <v>0.96875</v>
      </c>
      <c r="E95" s="4">
        <f t="shared" ref="E95:F95" si="26">I104/$G104</f>
        <v>0.9375</v>
      </c>
      <c r="F95" s="4">
        <f t="shared" si="26"/>
        <v>0.90625</v>
      </c>
      <c r="G95" s="4">
        <f>K104/$G104</f>
        <v>0.875</v>
      </c>
      <c r="H95" s="15"/>
      <c r="I95" s="11">
        <f>SUM(C95:H95)</f>
        <v>4.6875</v>
      </c>
      <c r="J95" s="4">
        <f>I95/I$101</f>
        <v>0.19212611891575862</v>
      </c>
      <c r="K95" s="14" t="s">
        <v>35</v>
      </c>
      <c r="L95" s="15">
        <f>C95/C$101</f>
        <v>0.21333333333333335</v>
      </c>
      <c r="M95" s="15">
        <f t="shared" ref="M95:P95" si="27">D95/D$101</f>
        <v>0.20287101541059741</v>
      </c>
      <c r="N95" s="15">
        <f t="shared" si="27"/>
        <v>0.1924721984602224</v>
      </c>
      <c r="O95" s="15">
        <f t="shared" si="27"/>
        <v>0.18215291314706517</v>
      </c>
      <c r="P95" s="15">
        <f t="shared" si="27"/>
        <v>0.17192982456140352</v>
      </c>
      <c r="Q95" s="15"/>
      <c r="R95" s="11">
        <f>SUM(L95:Q95)/5</f>
        <v>0.19255185698252436</v>
      </c>
    </row>
    <row r="96" spans="2:18" ht="18" thickBot="1">
      <c r="B96" s="14" t="s">
        <v>43</v>
      </c>
      <c r="C96" s="4">
        <f>$H105/G104</f>
        <v>0.96875</v>
      </c>
      <c r="D96" s="4">
        <f t="shared" ref="D96:G96" si="28">$H105/H104</f>
        <v>1</v>
      </c>
      <c r="E96" s="4">
        <f t="shared" si="28"/>
        <v>1.0333333333333334</v>
      </c>
      <c r="F96" s="4">
        <f t="shared" si="28"/>
        <v>1.0689655172413792</v>
      </c>
      <c r="G96" s="4">
        <f t="shared" si="28"/>
        <v>1.1071428571428572</v>
      </c>
      <c r="H96" s="15"/>
      <c r="I96" s="15">
        <f t="shared" ref="I96:I99" si="29">SUM(C96:H96)</f>
        <v>5.1781917077175699</v>
      </c>
      <c r="J96" s="4">
        <f>I96/I$101</f>
        <v>0.2122380535051821</v>
      </c>
      <c r="K96" s="14" t="s">
        <v>36</v>
      </c>
      <c r="L96" s="15">
        <f t="shared" ref="L96:L99" si="30">C96/C$101</f>
        <v>0.20666666666666667</v>
      </c>
      <c r="M96" s="15">
        <f t="shared" ref="M96:M99" si="31">D96/D$101</f>
        <v>0.20941524171416506</v>
      </c>
      <c r="N96" s="15">
        <f t="shared" ref="N96:N99" si="32">E96/E$101</f>
        <v>0.21214713430282295</v>
      </c>
      <c r="O96" s="15">
        <f t="shared" ref="O96:O99" si="33">F96/F$101</f>
        <v>0.21485813298678791</v>
      </c>
      <c r="P96" s="15">
        <f t="shared" ref="P96:P99" si="34">G96/G$101</f>
        <v>0.21754385964912282</v>
      </c>
      <c r="Q96" s="15"/>
      <c r="R96" s="11">
        <f t="shared" ref="R96:R99" si="35">SUM(L96:Q96)/5</f>
        <v>0.21212620706391308</v>
      </c>
    </row>
    <row r="97" spans="2:18" ht="18" thickBot="1">
      <c r="B97" s="14" t="s">
        <v>45</v>
      </c>
      <c r="C97" s="11">
        <f>$I106/G106</f>
        <v>0.9375</v>
      </c>
      <c r="D97" s="11">
        <f t="shared" ref="D97:G97" si="36">$I106/H106</f>
        <v>0.967741935483871</v>
      </c>
      <c r="E97" s="11">
        <f t="shared" si="36"/>
        <v>1</v>
      </c>
      <c r="F97" s="11">
        <f t="shared" si="36"/>
        <v>1.0344827586206897</v>
      </c>
      <c r="G97" s="11">
        <f t="shared" si="36"/>
        <v>1.0714285714285714</v>
      </c>
      <c r="H97" s="15"/>
      <c r="I97" s="15">
        <f t="shared" si="29"/>
        <v>5.0111532655331317</v>
      </c>
      <c r="J97" s="4">
        <f t="shared" ref="J97:J99" si="37">I97/I$101</f>
        <v>0.20539166468243425</v>
      </c>
      <c r="K97" s="14" t="s">
        <v>37</v>
      </c>
      <c r="L97" s="15">
        <f t="shared" si="30"/>
        <v>0.2</v>
      </c>
      <c r="M97" s="15">
        <f t="shared" si="31"/>
        <v>0.2026599113362888</v>
      </c>
      <c r="N97" s="15">
        <f t="shared" si="32"/>
        <v>0.20530367835757057</v>
      </c>
      <c r="O97" s="15">
        <f t="shared" si="33"/>
        <v>0.20792722547108511</v>
      </c>
      <c r="P97" s="15">
        <f t="shared" si="34"/>
        <v>0.21052631578947367</v>
      </c>
      <c r="Q97" s="15"/>
      <c r="R97" s="11">
        <f t="shared" si="35"/>
        <v>0.20528342619088363</v>
      </c>
    </row>
    <row r="98" spans="2:18" ht="18" thickBot="1">
      <c r="B98" s="14" t="s">
        <v>46</v>
      </c>
      <c r="C98" s="11">
        <f>$J107/G107</f>
        <v>0.90625</v>
      </c>
      <c r="D98" s="11">
        <f t="shared" ref="D98:G98" si="38">$J107/H107</f>
        <v>0.93548387096774188</v>
      </c>
      <c r="E98" s="11">
        <f t="shared" si="38"/>
        <v>0.96666666666666667</v>
      </c>
      <c r="F98" s="11">
        <f t="shared" si="38"/>
        <v>1</v>
      </c>
      <c r="G98" s="11">
        <f t="shared" si="38"/>
        <v>1.0357142857142858</v>
      </c>
      <c r="H98" s="15"/>
      <c r="I98" s="15">
        <f t="shared" si="29"/>
        <v>4.8441148233486944</v>
      </c>
      <c r="J98" s="4">
        <f t="shared" si="37"/>
        <v>0.19854527585968645</v>
      </c>
      <c r="K98" s="14" t="s">
        <v>38</v>
      </c>
      <c r="L98" s="15">
        <f t="shared" si="30"/>
        <v>0.19333333333333333</v>
      </c>
      <c r="M98" s="15">
        <f t="shared" si="31"/>
        <v>0.19590458095841248</v>
      </c>
      <c r="N98" s="15">
        <f t="shared" si="32"/>
        <v>0.1984602224123182</v>
      </c>
      <c r="O98" s="15">
        <f t="shared" si="33"/>
        <v>0.20099631795538225</v>
      </c>
      <c r="P98" s="15">
        <f t="shared" si="34"/>
        <v>0.20350877192982458</v>
      </c>
      <c r="Q98" s="15"/>
      <c r="R98" s="11">
        <f t="shared" si="35"/>
        <v>0.19844064531785416</v>
      </c>
    </row>
    <row r="99" spans="2:18" ht="18" thickBot="1">
      <c r="B99" s="14" t="s">
        <v>47</v>
      </c>
      <c r="C99" s="11">
        <f>$K107/G108</f>
        <v>0.875</v>
      </c>
      <c r="D99" s="11">
        <f t="shared" ref="D99:G99" si="39">$K107/H108</f>
        <v>0.90322580645161288</v>
      </c>
      <c r="E99" s="11">
        <f t="shared" si="39"/>
        <v>0.93333333333333335</v>
      </c>
      <c r="F99" s="11">
        <f t="shared" si="39"/>
        <v>0.96551724137931039</v>
      </c>
      <c r="G99" s="11">
        <f t="shared" si="39"/>
        <v>1</v>
      </c>
      <c r="H99" s="15"/>
      <c r="I99" s="15">
        <f t="shared" si="29"/>
        <v>4.6770763811642571</v>
      </c>
      <c r="J99" s="4">
        <f t="shared" si="37"/>
        <v>0.19169888703693869</v>
      </c>
      <c r="K99" s="14" t="s">
        <v>39</v>
      </c>
      <c r="L99" s="15">
        <f t="shared" si="30"/>
        <v>0.18666666666666668</v>
      </c>
      <c r="M99" s="15">
        <f t="shared" si="31"/>
        <v>0.18914925058053619</v>
      </c>
      <c r="N99" s="15">
        <f t="shared" si="32"/>
        <v>0.19161676646706585</v>
      </c>
      <c r="O99" s="15">
        <f t="shared" si="33"/>
        <v>0.19406541043967943</v>
      </c>
      <c r="P99" s="15">
        <f t="shared" si="34"/>
        <v>0.19649122807017544</v>
      </c>
      <c r="Q99" s="15"/>
      <c r="R99" s="11">
        <f t="shared" si="35"/>
        <v>0.19159786444482471</v>
      </c>
    </row>
    <row r="100" spans="2:18" ht="16.5" thickBot="1">
      <c r="B100" s="14"/>
      <c r="C100" s="15"/>
      <c r="D100" s="15"/>
      <c r="E100" s="15"/>
      <c r="F100" s="15"/>
      <c r="G100" s="15"/>
      <c r="H100" s="15"/>
      <c r="I100" s="15"/>
      <c r="K100" s="14"/>
      <c r="L100" s="15"/>
      <c r="M100" s="15"/>
      <c r="N100" s="15"/>
      <c r="O100" s="15"/>
      <c r="P100" s="15"/>
      <c r="Q100" s="15"/>
      <c r="R100" s="15"/>
    </row>
    <row r="101" spans="2:18" ht="15.75">
      <c r="B101" s="16" t="s">
        <v>11</v>
      </c>
      <c r="C101" s="4">
        <f>SUM(C95:C100)</f>
        <v>4.6875</v>
      </c>
      <c r="D101" s="4">
        <f t="shared" ref="D101" si="40">SUM(D95:D100)</f>
        <v>4.775201612903226</v>
      </c>
      <c r="E101" s="4">
        <f t="shared" ref="E101" si="41">SUM(E95:E100)</f>
        <v>4.8708333333333336</v>
      </c>
      <c r="F101" s="4">
        <f t="shared" ref="F101" si="42">SUM(F95:F100)</f>
        <v>4.9752155172413799</v>
      </c>
      <c r="G101" s="4">
        <f t="shared" ref="G101" si="43">SUM(G95:G100)</f>
        <v>5.0892857142857144</v>
      </c>
      <c r="I101" s="4">
        <f>SUM(I95:I100)</f>
        <v>24.39803617776365</v>
      </c>
      <c r="J101">
        <f t="shared" ref="J101" si="44">SUM(J95:J100)</f>
        <v>1</v>
      </c>
      <c r="R101" s="19">
        <f>SUM(R95:R100)</f>
        <v>1</v>
      </c>
    </row>
    <row r="103" spans="2:18" ht="15.75" thickBot="1"/>
    <row r="104" spans="2:18" ht="16.5" thickBot="1">
      <c r="G104" s="20">
        <v>3200</v>
      </c>
      <c r="H104" s="21">
        <v>3100</v>
      </c>
      <c r="I104" s="21">
        <v>3000</v>
      </c>
      <c r="J104" s="21">
        <v>2900</v>
      </c>
      <c r="K104" s="21">
        <v>2800</v>
      </c>
    </row>
    <row r="105" spans="2:18" ht="16.5" thickBot="1">
      <c r="G105" s="20">
        <v>3200</v>
      </c>
      <c r="H105" s="21">
        <v>3100</v>
      </c>
      <c r="I105" s="21">
        <v>3000</v>
      </c>
      <c r="J105" s="21">
        <v>2900</v>
      </c>
      <c r="K105" s="21">
        <v>2800</v>
      </c>
    </row>
    <row r="106" spans="2:18" ht="16.5" thickBot="1">
      <c r="G106" s="20">
        <v>3200</v>
      </c>
      <c r="H106" s="21">
        <v>3100</v>
      </c>
      <c r="I106" s="21">
        <v>3000</v>
      </c>
      <c r="J106" s="21">
        <v>2900</v>
      </c>
      <c r="K106" s="21">
        <v>2800</v>
      </c>
    </row>
    <row r="107" spans="2:18" ht="16.5" thickBot="1">
      <c r="G107" s="20">
        <v>3200</v>
      </c>
      <c r="H107" s="21">
        <v>3100</v>
      </c>
      <c r="I107" s="21">
        <v>3000</v>
      </c>
      <c r="J107" s="21">
        <v>2900</v>
      </c>
      <c r="K107" s="21">
        <v>2800</v>
      </c>
    </row>
    <row r="108" spans="2:18" ht="16.5" thickBot="1">
      <c r="G108" s="20">
        <v>3200</v>
      </c>
      <c r="H108" s="21">
        <v>3100</v>
      </c>
      <c r="I108" s="21">
        <v>3000</v>
      </c>
      <c r="J108" s="21">
        <v>2900</v>
      </c>
      <c r="K108" s="21">
        <v>2800</v>
      </c>
    </row>
    <row r="110" spans="2:18" ht="15.75" thickBot="1">
      <c r="D110" s="23" t="s">
        <v>51</v>
      </c>
      <c r="E110" s="23"/>
      <c r="F110" s="23"/>
      <c r="G110" s="23"/>
    </row>
    <row r="111" spans="2:18" ht="32.25" thickBot="1">
      <c r="B111" s="12"/>
      <c r="C111" s="13" t="s">
        <v>44</v>
      </c>
      <c r="D111" s="13" t="s">
        <v>43</v>
      </c>
      <c r="E111" s="13" t="s">
        <v>45</v>
      </c>
      <c r="F111" s="13" t="s">
        <v>46</v>
      </c>
      <c r="G111" s="13" t="s">
        <v>47</v>
      </c>
      <c r="H111" s="13"/>
      <c r="I111" s="13" t="s">
        <v>11</v>
      </c>
      <c r="J111" s="18" t="s">
        <v>42</v>
      </c>
      <c r="K111" s="12"/>
      <c r="L111" s="13" t="s">
        <v>44</v>
      </c>
      <c r="M111" s="13" t="s">
        <v>43</v>
      </c>
      <c r="N111" s="13" t="s">
        <v>45</v>
      </c>
      <c r="O111" s="13" t="s">
        <v>46</v>
      </c>
      <c r="P111" s="13" t="s">
        <v>47</v>
      </c>
      <c r="Q111" s="13"/>
      <c r="R111" s="13" t="s">
        <v>11</v>
      </c>
    </row>
    <row r="112" spans="2:18" ht="18" thickBot="1">
      <c r="B112" s="14" t="s">
        <v>48</v>
      </c>
      <c r="C112" s="4">
        <f>$G121/G121</f>
        <v>1</v>
      </c>
      <c r="D112" s="4">
        <f>H121/$G121</f>
        <v>0.88888888888888884</v>
      </c>
      <c r="E112" s="4">
        <f t="shared" ref="E112" si="45">I121/$G121</f>
        <v>0.83333333333333337</v>
      </c>
      <c r="F112" s="4">
        <f t="shared" ref="F112" si="46">J121/$G121</f>
        <v>0.77777777777777779</v>
      </c>
      <c r="G112" s="4">
        <f>K121/$G121</f>
        <v>0.69444444444444442</v>
      </c>
      <c r="H112" s="15"/>
      <c r="I112" s="11">
        <f>SUM(C112:H112)</f>
        <v>4.1944444444444446</v>
      </c>
      <c r="J112" s="4">
        <f>I112/I$118</f>
        <v>0.17831160670228963</v>
      </c>
      <c r="K112" s="14" t="s">
        <v>35</v>
      </c>
      <c r="L112" s="15">
        <f>C112/C$118</f>
        <v>0.23841059602649006</v>
      </c>
      <c r="M112" s="15">
        <f t="shared" ref="M112:P112" si="47">D112/D$118</f>
        <v>0.19829589465530595</v>
      </c>
      <c r="N112" s="15">
        <f t="shared" si="47"/>
        <v>0.1785714285714286</v>
      </c>
      <c r="O112" s="15">
        <f t="shared" si="47"/>
        <v>0.15922014622258326</v>
      </c>
      <c r="P112" s="15">
        <f t="shared" si="47"/>
        <v>0.13116474291710389</v>
      </c>
      <c r="Q112" s="15"/>
      <c r="R112" s="11">
        <f>SUM(L112:Q112)/5</f>
        <v>0.18113256167858235</v>
      </c>
    </row>
    <row r="113" spans="2:18" ht="18" thickBot="1">
      <c r="B113" s="14" t="s">
        <v>43</v>
      </c>
      <c r="C113" s="4">
        <f>$H122/G121</f>
        <v>0.88888888888888884</v>
      </c>
      <c r="D113" s="4">
        <f t="shared" ref="D113" si="48">$H122/H121</f>
        <v>1</v>
      </c>
      <c r="E113" s="4">
        <f t="shared" ref="E113" si="49">$H122/I121</f>
        <v>1.0666666666666667</v>
      </c>
      <c r="F113" s="4">
        <f t="shared" ref="F113" si="50">$H122/J121</f>
        <v>1.1428571428571428</v>
      </c>
      <c r="G113" s="4">
        <f t="shared" ref="G113" si="51">$H122/K121</f>
        <v>1.28</v>
      </c>
      <c r="H113" s="15"/>
      <c r="I113" s="15">
        <f t="shared" ref="I113:I116" si="52">SUM(C113:H113)</f>
        <v>5.3784126984126983</v>
      </c>
      <c r="J113" s="4">
        <f t="shared" ref="J113:J116" si="53">I113/I$118</f>
        <v>0.22864372683066722</v>
      </c>
      <c r="K113" s="14" t="s">
        <v>36</v>
      </c>
      <c r="L113" s="15">
        <f t="shared" ref="L113:L116" si="54">C113/C$118</f>
        <v>0.21192052980132448</v>
      </c>
      <c r="M113" s="15">
        <f t="shared" ref="M113:M116" si="55">D113/D$118</f>
        <v>0.22308288148721919</v>
      </c>
      <c r="N113" s="15">
        <f t="shared" ref="N113:N116" si="56">E113/E$118</f>
        <v>0.22857142857142859</v>
      </c>
      <c r="O113" s="15">
        <f t="shared" ref="O113:O116" si="57">F113/F$118</f>
        <v>0.23395613322502026</v>
      </c>
      <c r="P113" s="15">
        <f t="shared" ref="P113:P116" si="58">G113/G$118</f>
        <v>0.24176285414480589</v>
      </c>
      <c r="Q113" s="15"/>
      <c r="R113" s="11">
        <f t="shared" ref="R113:R116" si="59">SUM(L113:Q113)/5</f>
        <v>0.2278587654459597</v>
      </c>
    </row>
    <row r="114" spans="2:18" ht="18" thickBot="1">
      <c r="B114" s="14" t="s">
        <v>45</v>
      </c>
      <c r="C114" s="11">
        <f>$I123/G123</f>
        <v>0.83333333333333337</v>
      </c>
      <c r="D114" s="11">
        <f t="shared" ref="D114" si="60">$I123/H123</f>
        <v>0.9375</v>
      </c>
      <c r="E114" s="11">
        <f t="shared" ref="E114" si="61">$I123/I123</f>
        <v>1</v>
      </c>
      <c r="F114" s="11">
        <f t="shared" ref="F114" si="62">$I123/J123</f>
        <v>1.0714285714285714</v>
      </c>
      <c r="G114" s="11">
        <f t="shared" ref="G114" si="63">$I123/K123</f>
        <v>1.2</v>
      </c>
      <c r="H114" s="15"/>
      <c r="I114" s="15">
        <f t="shared" si="52"/>
        <v>5.0422619047619053</v>
      </c>
      <c r="J114" s="4">
        <f t="shared" si="53"/>
        <v>0.21435349390375055</v>
      </c>
      <c r="K114" s="14" t="s">
        <v>37</v>
      </c>
      <c r="L114" s="15">
        <f t="shared" si="54"/>
        <v>0.19867549668874171</v>
      </c>
      <c r="M114" s="15">
        <f t="shared" si="55"/>
        <v>0.20914020139426798</v>
      </c>
      <c r="N114" s="15">
        <f t="shared" si="56"/>
        <v>0.2142857142857143</v>
      </c>
      <c r="O114" s="15">
        <f t="shared" si="57"/>
        <v>0.21933387489845652</v>
      </c>
      <c r="P114" s="15">
        <f t="shared" si="58"/>
        <v>0.22665267576075551</v>
      </c>
      <c r="Q114" s="15"/>
      <c r="R114" s="11">
        <f t="shared" si="59"/>
        <v>0.21361759260558716</v>
      </c>
    </row>
    <row r="115" spans="2:18" ht="18" thickBot="1">
      <c r="B115" s="14" t="s">
        <v>46</v>
      </c>
      <c r="C115" s="11">
        <f>$J124/G124</f>
        <v>0.77777777777777779</v>
      </c>
      <c r="D115" s="11">
        <f t="shared" ref="D115" si="64">$J124/H124</f>
        <v>0.875</v>
      </c>
      <c r="E115" s="11">
        <f t="shared" ref="E115" si="65">$J124/I124</f>
        <v>0.93333333333333335</v>
      </c>
      <c r="F115" s="11">
        <f t="shared" ref="F115" si="66">$J124/J124</f>
        <v>1</v>
      </c>
      <c r="G115" s="11">
        <f t="shared" ref="G115" si="67">$J124/K124</f>
        <v>1.1200000000000001</v>
      </c>
      <c r="H115" s="15"/>
      <c r="I115" s="15">
        <f t="shared" si="52"/>
        <v>4.7061111111111114</v>
      </c>
      <c r="J115" s="4">
        <f t="shared" si="53"/>
        <v>0.20006326097683383</v>
      </c>
      <c r="K115" s="14" t="s">
        <v>38</v>
      </c>
      <c r="L115" s="15">
        <f t="shared" si="54"/>
        <v>0.18543046357615894</v>
      </c>
      <c r="M115" s="15">
        <f t="shared" si="55"/>
        <v>0.19519752130131679</v>
      </c>
      <c r="N115" s="15">
        <f t="shared" si="56"/>
        <v>0.20000000000000004</v>
      </c>
      <c r="O115" s="15">
        <f t="shared" si="57"/>
        <v>0.20471161657189274</v>
      </c>
      <c r="P115" s="15">
        <f t="shared" si="58"/>
        <v>0.21154249737670516</v>
      </c>
      <c r="Q115" s="15"/>
      <c r="R115" s="11">
        <f t="shared" si="59"/>
        <v>0.19937641976521475</v>
      </c>
    </row>
    <row r="116" spans="2:18" ht="18" thickBot="1">
      <c r="B116" s="14" t="s">
        <v>47</v>
      </c>
      <c r="C116" s="11">
        <f>$K124/G125</f>
        <v>0.69444444444444442</v>
      </c>
      <c r="D116" s="11">
        <f t="shared" ref="D116" si="68">$K124/H125</f>
        <v>0.78125</v>
      </c>
      <c r="E116" s="11">
        <f t="shared" ref="E116" si="69">$K124/I125</f>
        <v>0.83333333333333337</v>
      </c>
      <c r="F116" s="11">
        <f t="shared" ref="F116" si="70">$K124/J125</f>
        <v>0.8928571428571429</v>
      </c>
      <c r="G116" s="11">
        <f t="shared" ref="G116" si="71">$K124/K125</f>
        <v>1</v>
      </c>
      <c r="H116" s="15"/>
      <c r="I116" s="15">
        <f t="shared" si="52"/>
        <v>4.2018849206349209</v>
      </c>
      <c r="J116" s="4">
        <f t="shared" si="53"/>
        <v>0.17862791158645877</v>
      </c>
      <c r="K116" s="14" t="s">
        <v>39</v>
      </c>
      <c r="L116" s="15">
        <f t="shared" si="54"/>
        <v>0.16556291390728475</v>
      </c>
      <c r="M116" s="15">
        <f t="shared" si="55"/>
        <v>0.17428350116188998</v>
      </c>
      <c r="N116" s="15">
        <f t="shared" si="56"/>
        <v>0.1785714285714286</v>
      </c>
      <c r="O116" s="15">
        <f t="shared" si="57"/>
        <v>0.18277822908204711</v>
      </c>
      <c r="P116" s="15">
        <f t="shared" si="58"/>
        <v>0.1888772298006296</v>
      </c>
      <c r="Q116" s="15"/>
      <c r="R116" s="11">
        <f t="shared" si="59"/>
        <v>0.178014660504656</v>
      </c>
    </row>
    <row r="117" spans="2:18" ht="16.5" thickBot="1">
      <c r="B117" s="14"/>
      <c r="C117" s="15"/>
      <c r="D117" s="15"/>
      <c r="E117" s="15"/>
      <c r="F117" s="15"/>
      <c r="G117" s="15"/>
      <c r="H117" s="15"/>
      <c r="I117" s="15"/>
      <c r="K117" s="14"/>
      <c r="L117" s="15"/>
      <c r="M117" s="15"/>
      <c r="N117" s="15"/>
      <c r="O117" s="15"/>
      <c r="P117" s="15"/>
      <c r="Q117" s="15"/>
      <c r="R117" s="15"/>
    </row>
    <row r="118" spans="2:18" ht="15.75">
      <c r="B118" s="16" t="s">
        <v>11</v>
      </c>
      <c r="C118" s="4">
        <f>SUM(C112:C117)</f>
        <v>4.1944444444444446</v>
      </c>
      <c r="D118" s="4">
        <f t="shared" ref="D118" si="72">SUM(D112:D117)</f>
        <v>4.4826388888888893</v>
      </c>
      <c r="E118" s="4">
        <f t="shared" ref="E118" si="73">SUM(E112:E117)</f>
        <v>4.6666666666666661</v>
      </c>
      <c r="F118" s="4">
        <f t="shared" ref="F118" si="74">SUM(F112:F117)</f>
        <v>4.8849206349206353</v>
      </c>
      <c r="G118" s="4">
        <f t="shared" ref="G118" si="75">SUM(G112:G117)</f>
        <v>5.2944444444444443</v>
      </c>
      <c r="I118" s="4">
        <f>SUM(I112:I117)</f>
        <v>23.523115079365081</v>
      </c>
      <c r="J118">
        <f t="shared" ref="J118" si="76">SUM(J112:J117)</f>
        <v>1</v>
      </c>
      <c r="R118" s="19">
        <f>SUM(R112:R117)</f>
        <v>1</v>
      </c>
    </row>
    <row r="120" spans="2:18" ht="15.75" thickBot="1"/>
    <row r="121" spans="2:18" ht="16.5" thickBot="1">
      <c r="G121" s="20">
        <v>36</v>
      </c>
      <c r="H121" s="21">
        <v>32</v>
      </c>
      <c r="I121" s="21">
        <v>30</v>
      </c>
      <c r="J121" s="21">
        <v>28</v>
      </c>
      <c r="K121" s="21">
        <v>25</v>
      </c>
    </row>
    <row r="122" spans="2:18" ht="16.5" thickBot="1">
      <c r="G122" s="20">
        <v>36</v>
      </c>
      <c r="H122" s="21">
        <v>32</v>
      </c>
      <c r="I122" s="21">
        <v>30</v>
      </c>
      <c r="J122" s="21">
        <v>28</v>
      </c>
      <c r="K122" s="21">
        <v>25</v>
      </c>
    </row>
    <row r="123" spans="2:18" ht="16.5" thickBot="1">
      <c r="G123" s="20">
        <v>36</v>
      </c>
      <c r="H123" s="21">
        <v>32</v>
      </c>
      <c r="I123" s="21">
        <v>30</v>
      </c>
      <c r="J123" s="21">
        <v>28</v>
      </c>
      <c r="K123" s="21">
        <v>25</v>
      </c>
    </row>
    <row r="124" spans="2:18" ht="16.5" thickBot="1">
      <c r="G124" s="20">
        <v>36</v>
      </c>
      <c r="H124" s="21">
        <v>32</v>
      </c>
      <c r="I124" s="21">
        <v>30</v>
      </c>
      <c r="J124" s="21">
        <v>28</v>
      </c>
      <c r="K124" s="21">
        <v>25</v>
      </c>
    </row>
    <row r="125" spans="2:18" ht="16.5" thickBot="1">
      <c r="G125" s="20">
        <v>36</v>
      </c>
      <c r="H125" s="21">
        <v>32</v>
      </c>
      <c r="I125" s="21">
        <v>30</v>
      </c>
      <c r="J125" s="21">
        <v>28</v>
      </c>
      <c r="K125" s="21">
        <v>25</v>
      </c>
    </row>
    <row r="127" spans="2:18">
      <c r="D127" s="22" t="s">
        <v>52</v>
      </c>
      <c r="E127" s="22"/>
      <c r="F127" s="22"/>
      <c r="G127" s="22"/>
    </row>
    <row r="128" spans="2:18" ht="15.75" thickBot="1"/>
    <row r="129" spans="2:18" ht="32.25" thickBot="1">
      <c r="B129" s="12"/>
      <c r="C129" s="13" t="s">
        <v>44</v>
      </c>
      <c r="D129" s="13" t="s">
        <v>43</v>
      </c>
      <c r="E129" s="13" t="s">
        <v>45</v>
      </c>
      <c r="F129" s="13" t="s">
        <v>46</v>
      </c>
      <c r="G129" s="13" t="s">
        <v>47</v>
      </c>
      <c r="H129" s="13"/>
      <c r="I129" s="13" t="s">
        <v>11</v>
      </c>
      <c r="J129" s="18" t="s">
        <v>42</v>
      </c>
      <c r="K129" s="12"/>
      <c r="L129" s="13" t="s">
        <v>44</v>
      </c>
      <c r="M129" s="13" t="s">
        <v>43</v>
      </c>
      <c r="N129" s="13" t="s">
        <v>45</v>
      </c>
      <c r="O129" s="13" t="s">
        <v>46</v>
      </c>
      <c r="P129" s="13" t="s">
        <v>47</v>
      </c>
      <c r="Q129" s="13"/>
      <c r="R129" s="13" t="s">
        <v>11</v>
      </c>
    </row>
    <row r="130" spans="2:18" ht="18" thickBot="1">
      <c r="B130" s="14" t="s">
        <v>48</v>
      </c>
      <c r="C130" s="4">
        <f>$G139/G139</f>
        <v>1</v>
      </c>
      <c r="D130" s="4">
        <f>H139/$G139</f>
        <v>0.79999999999999993</v>
      </c>
      <c r="E130" s="4">
        <f t="shared" ref="E130" si="77">I139/$G139</f>
        <v>0.66666666666666663</v>
      </c>
      <c r="F130" s="4">
        <f t="shared" ref="F130" si="78">J139/$G139</f>
        <v>0.53333333333333333</v>
      </c>
      <c r="G130" s="4">
        <f>K139/$G139</f>
        <v>0.39999999999999997</v>
      </c>
      <c r="H130" s="15"/>
      <c r="I130" s="11">
        <f>SUM(C130:H130)</f>
        <v>3.3999999999999995</v>
      </c>
      <c r="J130" s="4">
        <f>I130/I$136</f>
        <v>0.148471615720524</v>
      </c>
      <c r="K130" s="14" t="s">
        <v>35</v>
      </c>
      <c r="L130" s="15">
        <f>C130/C$136</f>
        <v>0.29411764705882359</v>
      </c>
      <c r="M130" s="15">
        <f t="shared" ref="M130:P134" si="79">D130/D$136</f>
        <v>0.21052631578947367</v>
      </c>
      <c r="N130" s="15">
        <f t="shared" si="79"/>
        <v>0.15625</v>
      </c>
      <c r="O130" s="15">
        <f t="shared" si="79"/>
        <v>0.10596026490066225</v>
      </c>
      <c r="P130" s="15">
        <f t="shared" si="79"/>
        <v>6.2499999999999993E-2</v>
      </c>
      <c r="Q130" s="15"/>
      <c r="R130" s="11">
        <f>SUM(L130:Q130)/5</f>
        <v>0.1658708455497919</v>
      </c>
    </row>
    <row r="131" spans="2:18" ht="18" thickBot="1">
      <c r="B131" s="14" t="s">
        <v>43</v>
      </c>
      <c r="C131" s="4">
        <f>$H140/G139</f>
        <v>0.79999999999999993</v>
      </c>
      <c r="D131" s="4">
        <f t="shared" ref="D131" si="80">$H140/H139</f>
        <v>1</v>
      </c>
      <c r="E131" s="4">
        <f t="shared" ref="E131" si="81">$H140/I139</f>
        <v>1.2</v>
      </c>
      <c r="F131" s="4">
        <f t="shared" ref="F131" si="82">$H140/J139</f>
        <v>1.4999999999999998</v>
      </c>
      <c r="G131" s="4">
        <f t="shared" ref="G131" si="83">$H140/K139</f>
        <v>2</v>
      </c>
      <c r="H131" s="15"/>
      <c r="I131" s="15">
        <f t="shared" ref="I131:I134" si="84">SUM(C131:H131)</f>
        <v>6.5</v>
      </c>
      <c r="J131" s="4">
        <f t="shared" ref="J131:J134" si="85">I131/I$136</f>
        <v>0.28384279475982532</v>
      </c>
      <c r="K131" s="14" t="s">
        <v>36</v>
      </c>
      <c r="L131" s="15">
        <f t="shared" ref="L131:L134" si="86">C131/C$136</f>
        <v>0.23529411764705885</v>
      </c>
      <c r="M131" s="15">
        <f t="shared" si="79"/>
        <v>0.26315789473684209</v>
      </c>
      <c r="N131" s="15">
        <f t="shared" si="79"/>
        <v>0.28125</v>
      </c>
      <c r="O131" s="15">
        <f t="shared" si="79"/>
        <v>0.29801324503311255</v>
      </c>
      <c r="P131" s="15">
        <f t="shared" si="79"/>
        <v>0.3125</v>
      </c>
      <c r="Q131" s="15"/>
      <c r="R131" s="11">
        <f t="shared" ref="R131:R134" si="87">SUM(L131:Q131)/5</f>
        <v>0.27804305148340269</v>
      </c>
    </row>
    <row r="132" spans="2:18" ht="18" thickBot="1">
      <c r="B132" s="14" t="s">
        <v>45</v>
      </c>
      <c r="C132" s="11">
        <f>$I141/G141</f>
        <v>0.66666666666666663</v>
      </c>
      <c r="D132" s="11">
        <f t="shared" ref="D132" si="88">$I141/H141</f>
        <v>0.83333333333333337</v>
      </c>
      <c r="E132" s="11">
        <f t="shared" ref="E132" si="89">$I141/I141</f>
        <v>1</v>
      </c>
      <c r="F132" s="11">
        <f t="shared" ref="F132" si="90">$I141/J141</f>
        <v>1.25</v>
      </c>
      <c r="G132" s="11">
        <f t="shared" ref="G132" si="91">$I141/K141</f>
        <v>1.6666666666666667</v>
      </c>
      <c r="H132" s="15"/>
      <c r="I132" s="15">
        <f t="shared" si="84"/>
        <v>5.416666666666667</v>
      </c>
      <c r="J132" s="4">
        <f t="shared" si="85"/>
        <v>0.23653566229985445</v>
      </c>
      <c r="K132" s="14" t="s">
        <v>37</v>
      </c>
      <c r="L132" s="15">
        <f t="shared" si="86"/>
        <v>0.19607843137254904</v>
      </c>
      <c r="M132" s="15">
        <f t="shared" si="79"/>
        <v>0.2192982456140351</v>
      </c>
      <c r="N132" s="15">
        <f t="shared" si="79"/>
        <v>0.234375</v>
      </c>
      <c r="O132" s="15">
        <f t="shared" si="79"/>
        <v>0.24834437086092717</v>
      </c>
      <c r="P132" s="15">
        <f t="shared" si="79"/>
        <v>0.26041666666666669</v>
      </c>
      <c r="Q132" s="15"/>
      <c r="R132" s="11">
        <f t="shared" si="87"/>
        <v>0.2317025429028356</v>
      </c>
    </row>
    <row r="133" spans="2:18" ht="18" thickBot="1">
      <c r="B133" s="14" t="s">
        <v>46</v>
      </c>
      <c r="C133" s="11">
        <f>$J142/G142</f>
        <v>0.53333333333333333</v>
      </c>
      <c r="D133" s="11">
        <f t="shared" ref="D133" si="92">$J142/H142</f>
        <v>0.66666666666666674</v>
      </c>
      <c r="E133" s="11">
        <f t="shared" ref="E133" si="93">$J142/I142</f>
        <v>0.8</v>
      </c>
      <c r="F133" s="11">
        <f t="shared" ref="F133" si="94">$J142/J142</f>
        <v>1</v>
      </c>
      <c r="G133" s="11">
        <f t="shared" ref="G133" si="95">$J142/K142</f>
        <v>1.3333333333333335</v>
      </c>
      <c r="H133" s="15"/>
      <c r="I133" s="15">
        <f t="shared" si="84"/>
        <v>4.3333333333333339</v>
      </c>
      <c r="J133" s="4">
        <f t="shared" si="85"/>
        <v>0.18922852983988359</v>
      </c>
      <c r="K133" s="14" t="s">
        <v>38</v>
      </c>
      <c r="L133" s="15">
        <f t="shared" si="86"/>
        <v>0.15686274509803924</v>
      </c>
      <c r="M133" s="15">
        <f t="shared" si="79"/>
        <v>0.17543859649122809</v>
      </c>
      <c r="N133" s="15">
        <f t="shared" si="79"/>
        <v>0.1875</v>
      </c>
      <c r="O133" s="15">
        <f t="shared" si="79"/>
        <v>0.19867549668874174</v>
      </c>
      <c r="P133" s="15">
        <f t="shared" si="79"/>
        <v>0.20833333333333334</v>
      </c>
      <c r="Q133" s="15"/>
      <c r="R133" s="11">
        <f t="shared" si="87"/>
        <v>0.18536203432226847</v>
      </c>
    </row>
    <row r="134" spans="2:18" ht="18" thickBot="1">
      <c r="B134" s="14" t="s">
        <v>47</v>
      </c>
      <c r="C134" s="11">
        <f>$K142/G143</f>
        <v>0.39999999999999997</v>
      </c>
      <c r="D134" s="11">
        <f t="shared" ref="D134" si="96">$K142/H143</f>
        <v>0.5</v>
      </c>
      <c r="E134" s="11">
        <f t="shared" ref="E134" si="97">$K142/I143</f>
        <v>0.6</v>
      </c>
      <c r="F134" s="11">
        <f t="shared" ref="F134" si="98">$K142/J143</f>
        <v>0.74999999999999989</v>
      </c>
      <c r="G134" s="11">
        <f t="shared" ref="G134" si="99">$K142/K143</f>
        <v>1</v>
      </c>
      <c r="H134" s="15"/>
      <c r="I134" s="15">
        <f t="shared" si="84"/>
        <v>3.25</v>
      </c>
      <c r="J134" s="4">
        <f t="shared" si="85"/>
        <v>0.14192139737991266</v>
      </c>
      <c r="K134" s="14" t="s">
        <v>39</v>
      </c>
      <c r="L134" s="15">
        <f t="shared" si="86"/>
        <v>0.11764705882352942</v>
      </c>
      <c r="M134" s="15">
        <f t="shared" si="79"/>
        <v>0.13157894736842105</v>
      </c>
      <c r="N134" s="15">
        <f t="shared" si="79"/>
        <v>0.140625</v>
      </c>
      <c r="O134" s="15">
        <f t="shared" si="79"/>
        <v>0.14900662251655628</v>
      </c>
      <c r="P134" s="15">
        <f t="shared" si="79"/>
        <v>0.15625</v>
      </c>
      <c r="Q134" s="15"/>
      <c r="R134" s="11">
        <f t="shared" si="87"/>
        <v>0.13902152574170135</v>
      </c>
    </row>
    <row r="135" spans="2:18" ht="16.5" thickBot="1">
      <c r="B135" s="14"/>
      <c r="C135" s="15"/>
      <c r="D135" s="15"/>
      <c r="E135" s="15"/>
      <c r="F135" s="15"/>
      <c r="G135" s="15"/>
      <c r="H135" s="15"/>
      <c r="I135" s="15"/>
      <c r="K135" s="14"/>
      <c r="L135" s="15"/>
      <c r="M135" s="15"/>
      <c r="N135" s="15"/>
      <c r="O135" s="15"/>
      <c r="P135" s="15"/>
      <c r="Q135" s="15"/>
      <c r="R135" s="15"/>
    </row>
    <row r="136" spans="2:18" ht="15.75">
      <c r="B136" s="16" t="s">
        <v>11</v>
      </c>
      <c r="C136" s="4">
        <f>SUM(C130:C135)</f>
        <v>3.3999999999999995</v>
      </c>
      <c r="D136" s="4">
        <f t="shared" ref="D136" si="100">SUM(D130:D135)</f>
        <v>3.8</v>
      </c>
      <c r="E136" s="4">
        <f t="shared" ref="E136" si="101">SUM(E130:E135)</f>
        <v>4.2666666666666666</v>
      </c>
      <c r="F136" s="4">
        <f t="shared" ref="F136" si="102">SUM(F130:F135)</f>
        <v>5.0333333333333332</v>
      </c>
      <c r="G136" s="4">
        <f t="shared" ref="G136" si="103">SUM(G130:G135)</f>
        <v>6.4</v>
      </c>
      <c r="I136" s="4">
        <f>SUM(I130:I135)</f>
        <v>22.9</v>
      </c>
      <c r="J136">
        <f t="shared" ref="J136" si="104">SUM(J130:J135)</f>
        <v>1</v>
      </c>
      <c r="R136" s="19">
        <f>SUM(R130:R135)</f>
        <v>1</v>
      </c>
    </row>
    <row r="138" spans="2:18" ht="15.75" thickBot="1"/>
    <row r="139" spans="2:18" ht="16.5" thickBot="1">
      <c r="G139" s="20">
        <v>1.5</v>
      </c>
      <c r="H139" s="21">
        <v>1.2</v>
      </c>
      <c r="I139" s="21">
        <v>1</v>
      </c>
      <c r="J139" s="21">
        <v>0.8</v>
      </c>
      <c r="K139" s="21">
        <v>0.6</v>
      </c>
    </row>
    <row r="140" spans="2:18" ht="16.5" thickBot="1">
      <c r="G140" s="20">
        <v>1.5</v>
      </c>
      <c r="H140" s="21">
        <v>1.2</v>
      </c>
      <c r="I140" s="21">
        <v>1</v>
      </c>
      <c r="J140" s="21">
        <v>0.8</v>
      </c>
      <c r="K140" s="21">
        <v>0.6</v>
      </c>
    </row>
    <row r="141" spans="2:18" ht="16.5" thickBot="1">
      <c r="G141" s="20">
        <v>1.5</v>
      </c>
      <c r="H141" s="21">
        <v>1.2</v>
      </c>
      <c r="I141" s="21">
        <v>1</v>
      </c>
      <c r="J141" s="21">
        <v>0.8</v>
      </c>
      <c r="K141" s="21">
        <v>0.6</v>
      </c>
    </row>
    <row r="142" spans="2:18" ht="16.5" thickBot="1">
      <c r="G142" s="20">
        <v>1.5</v>
      </c>
      <c r="H142" s="21">
        <v>1.2</v>
      </c>
      <c r="I142" s="21">
        <v>1</v>
      </c>
      <c r="J142" s="21">
        <v>0.8</v>
      </c>
      <c r="K142" s="21">
        <v>0.6</v>
      </c>
    </row>
    <row r="143" spans="2:18" ht="16.5" thickBot="1">
      <c r="G143" s="20">
        <v>1.5</v>
      </c>
      <c r="H143" s="21">
        <v>1.2</v>
      </c>
      <c r="I143" s="21">
        <v>1</v>
      </c>
      <c r="J143" s="21">
        <v>0.8</v>
      </c>
      <c r="K143" s="21">
        <v>0.6</v>
      </c>
    </row>
    <row r="145" spans="2:18">
      <c r="C145" s="22" t="s">
        <v>53</v>
      </c>
      <c r="D145" s="22"/>
      <c r="E145" s="22"/>
      <c r="F145" s="22"/>
    </row>
    <row r="146" spans="2:18">
      <c r="C146" s="22"/>
      <c r="D146" s="22"/>
      <c r="E146" s="22"/>
      <c r="F146" s="22"/>
    </row>
    <row r="147" spans="2:18" ht="15.75" thickBot="1"/>
    <row r="148" spans="2:18" ht="32.25" thickBot="1">
      <c r="B148" s="12"/>
      <c r="C148" s="13" t="s">
        <v>44</v>
      </c>
      <c r="D148" s="13" t="s">
        <v>43</v>
      </c>
      <c r="E148" s="13" t="s">
        <v>45</v>
      </c>
      <c r="F148" s="13" t="s">
        <v>46</v>
      </c>
      <c r="G148" s="13" t="s">
        <v>47</v>
      </c>
      <c r="H148" s="13"/>
      <c r="I148" s="13" t="s">
        <v>11</v>
      </c>
      <c r="J148" s="18" t="s">
        <v>42</v>
      </c>
      <c r="K148" s="12"/>
      <c r="L148" s="13" t="s">
        <v>44</v>
      </c>
      <c r="M148" s="13" t="s">
        <v>43</v>
      </c>
      <c r="N148" s="13" t="s">
        <v>45</v>
      </c>
      <c r="O148" s="13" t="s">
        <v>46</v>
      </c>
      <c r="P148" s="13" t="s">
        <v>47</v>
      </c>
      <c r="Q148" s="13"/>
      <c r="R148" s="13" t="s">
        <v>11</v>
      </c>
    </row>
    <row r="149" spans="2:18" ht="18" thickBot="1">
      <c r="B149" s="14" t="s">
        <v>48</v>
      </c>
      <c r="C149" s="4">
        <f>$G158/G158</f>
        <v>1</v>
      </c>
      <c r="D149" s="4">
        <f>H158/$G158</f>
        <v>0.91656249999999995</v>
      </c>
      <c r="E149" s="4">
        <f>I158/$G158</f>
        <v>0.91656249999999995</v>
      </c>
      <c r="F149" s="4">
        <f>J158/$G158</f>
        <v>0.833125</v>
      </c>
      <c r="G149" s="4">
        <f>K158/$G158</f>
        <v>0.833125</v>
      </c>
      <c r="H149" s="15"/>
      <c r="I149" s="11">
        <f>SUM(C149:H149)</f>
        <v>4.4993749999999997</v>
      </c>
      <c r="J149" s="4">
        <f>I149/I$155</f>
        <v>0.18719926009331569</v>
      </c>
      <c r="K149" s="14" t="s">
        <v>35</v>
      </c>
      <c r="L149" s="15">
        <f>C149/C$155</f>
        <v>0.22225309070704266</v>
      </c>
      <c r="M149" s="15">
        <f t="shared" ref="M149:P153" si="105">D149/D$155</f>
        <v>0.1935923973867277</v>
      </c>
      <c r="N149" s="15">
        <f t="shared" si="105"/>
        <v>0.1935923973867277</v>
      </c>
      <c r="O149" s="15">
        <f t="shared" si="105"/>
        <v>0.16551850630197285</v>
      </c>
      <c r="P149" s="15">
        <f t="shared" si="105"/>
        <v>0.16551850630197285</v>
      </c>
      <c r="Q149" s="15"/>
      <c r="R149" s="11">
        <f>SUM(L149:Q149)/5</f>
        <v>0.18809497961688876</v>
      </c>
    </row>
    <row r="150" spans="2:18" ht="18" thickBot="1">
      <c r="B150" s="14" t="s">
        <v>43</v>
      </c>
      <c r="C150" s="4">
        <f>$H159/G158</f>
        <v>0.91656249999999995</v>
      </c>
      <c r="D150" s="4">
        <f>$H159/H158</f>
        <v>1</v>
      </c>
      <c r="E150" s="4">
        <f>$H159/I158</f>
        <v>1</v>
      </c>
      <c r="F150" s="4">
        <f>$H159/J158</f>
        <v>1.1001500375093773</v>
      </c>
      <c r="G150" s="4">
        <f>$H159/K158</f>
        <v>1.1001500375093773</v>
      </c>
      <c r="H150" s="15"/>
      <c r="I150" s="15">
        <f t="shared" ref="I150:I153" si="106">SUM(C150:H150)</f>
        <v>5.1168625750187546</v>
      </c>
      <c r="J150" s="4">
        <f t="shared" ref="J150:J153" si="107">I150/I$155</f>
        <v>0.21289020987196869</v>
      </c>
      <c r="K150" s="14" t="s">
        <v>36</v>
      </c>
      <c r="L150" s="15">
        <f t="shared" ref="L150:L153" si="108">C150/C$155</f>
        <v>0.20370884845117376</v>
      </c>
      <c r="M150" s="15">
        <f t="shared" si="105"/>
        <v>0.21121570802506945</v>
      </c>
      <c r="N150" s="15">
        <f t="shared" si="105"/>
        <v>0.21121570802506945</v>
      </c>
      <c r="O150" s="15">
        <f t="shared" si="105"/>
        <v>0.21856887131776329</v>
      </c>
      <c r="P150" s="15">
        <f t="shared" si="105"/>
        <v>0.21856887131776329</v>
      </c>
      <c r="Q150" s="15"/>
      <c r="R150" s="11">
        <f t="shared" ref="R150:R153" si="109">SUM(L150:Q150)/5</f>
        <v>0.21265560142736786</v>
      </c>
    </row>
    <row r="151" spans="2:18" ht="18" thickBot="1">
      <c r="B151" s="14" t="s">
        <v>45</v>
      </c>
      <c r="C151" s="11">
        <f>$I160/G160</f>
        <v>0.91656249999999995</v>
      </c>
      <c r="D151" s="11">
        <f>$I160/H160</f>
        <v>1</v>
      </c>
      <c r="E151" s="11">
        <f>$I160/I160</f>
        <v>1</v>
      </c>
      <c r="F151" s="11">
        <f>$I160/J160</f>
        <v>1.1001500375093773</v>
      </c>
      <c r="G151" s="11">
        <f>$I160/K160</f>
        <v>1.1001500375093773</v>
      </c>
      <c r="H151" s="15"/>
      <c r="I151" s="15">
        <f t="shared" si="106"/>
        <v>5.1168625750187546</v>
      </c>
      <c r="J151" s="4">
        <f t="shared" si="107"/>
        <v>0.21289020987196869</v>
      </c>
      <c r="K151" s="14" t="s">
        <v>37</v>
      </c>
      <c r="L151" s="15">
        <f t="shared" si="108"/>
        <v>0.20370884845117376</v>
      </c>
      <c r="M151" s="15">
        <f t="shared" si="105"/>
        <v>0.21121570802506945</v>
      </c>
      <c r="N151" s="15">
        <f t="shared" si="105"/>
        <v>0.21121570802506945</v>
      </c>
      <c r="O151" s="15">
        <f t="shared" si="105"/>
        <v>0.21856887131776329</v>
      </c>
      <c r="P151" s="15">
        <f t="shared" si="105"/>
        <v>0.21856887131776329</v>
      </c>
      <c r="Q151" s="15"/>
      <c r="R151" s="11">
        <f t="shared" si="109"/>
        <v>0.21265560142736786</v>
      </c>
    </row>
    <row r="152" spans="2:18" ht="18" thickBot="1">
      <c r="B152" s="14" t="s">
        <v>46</v>
      </c>
      <c r="C152" s="11">
        <f>$J161/G161</f>
        <v>0.833125</v>
      </c>
      <c r="D152" s="11">
        <f>$J161/H161</f>
        <v>0.90896692806000678</v>
      </c>
      <c r="E152" s="11">
        <f>$J161/I161</f>
        <v>0.90896692806000678</v>
      </c>
      <c r="F152" s="11">
        <f>$J161/J161</f>
        <v>1</v>
      </c>
      <c r="G152" s="11">
        <f>$J161/K161</f>
        <v>1</v>
      </c>
      <c r="H152" s="15"/>
      <c r="I152" s="15">
        <f t="shared" si="106"/>
        <v>4.6510588561200139</v>
      </c>
      <c r="J152" s="4">
        <f t="shared" si="107"/>
        <v>0.19351016008137353</v>
      </c>
      <c r="K152" s="14" t="s">
        <v>38</v>
      </c>
      <c r="L152" s="15">
        <f t="shared" si="108"/>
        <v>0.18516460619530492</v>
      </c>
      <c r="M152" s="15">
        <f t="shared" si="105"/>
        <v>0.19198809328156669</v>
      </c>
      <c r="N152" s="15">
        <f t="shared" si="105"/>
        <v>0.19198809328156669</v>
      </c>
      <c r="O152" s="15">
        <f t="shared" si="105"/>
        <v>0.19867187553125024</v>
      </c>
      <c r="P152" s="15">
        <f t="shared" si="105"/>
        <v>0.19867187553125024</v>
      </c>
      <c r="Q152" s="15"/>
      <c r="R152" s="11">
        <f t="shared" si="109"/>
        <v>0.19329690876418773</v>
      </c>
    </row>
    <row r="153" spans="2:18" ht="18" thickBot="1">
      <c r="B153" s="14" t="s">
        <v>47</v>
      </c>
      <c r="C153" s="11">
        <f>$K161/G162</f>
        <v>0.833125</v>
      </c>
      <c r="D153" s="11">
        <f>$K161/H162</f>
        <v>0.90896692806000678</v>
      </c>
      <c r="E153" s="11">
        <f>$K161/I162</f>
        <v>0.90896692806000678</v>
      </c>
      <c r="F153" s="11">
        <f>$K161/J162</f>
        <v>1</v>
      </c>
      <c r="G153" s="11">
        <f>$K161/K162</f>
        <v>1</v>
      </c>
      <c r="H153" s="15"/>
      <c r="I153" s="15">
        <f t="shared" si="106"/>
        <v>4.6510588561200139</v>
      </c>
      <c r="J153" s="4">
        <f t="shared" si="107"/>
        <v>0.19351016008137353</v>
      </c>
      <c r="K153" s="14" t="s">
        <v>39</v>
      </c>
      <c r="L153" s="15">
        <f t="shared" si="108"/>
        <v>0.18516460619530492</v>
      </c>
      <c r="M153" s="15">
        <f t="shared" si="105"/>
        <v>0.19198809328156669</v>
      </c>
      <c r="N153" s="15">
        <f t="shared" si="105"/>
        <v>0.19198809328156669</v>
      </c>
      <c r="O153" s="15">
        <f t="shared" si="105"/>
        <v>0.19867187553125024</v>
      </c>
      <c r="P153" s="15">
        <f t="shared" si="105"/>
        <v>0.19867187553125024</v>
      </c>
      <c r="Q153" s="15"/>
      <c r="R153" s="11">
        <f t="shared" si="109"/>
        <v>0.19329690876418773</v>
      </c>
    </row>
    <row r="154" spans="2:18" ht="16.5" thickBot="1">
      <c r="B154" s="14"/>
      <c r="C154" s="15"/>
      <c r="D154" s="15"/>
      <c r="E154" s="15"/>
      <c r="F154" s="15"/>
      <c r="G154" s="15"/>
      <c r="H154" s="15"/>
      <c r="I154" s="15"/>
      <c r="K154" s="14"/>
      <c r="L154" s="15"/>
      <c r="M154" s="15"/>
      <c r="N154" s="15"/>
      <c r="O154" s="15"/>
      <c r="P154" s="15"/>
      <c r="Q154" s="15"/>
      <c r="R154" s="15"/>
    </row>
    <row r="155" spans="2:18" ht="15.75">
      <c r="B155" s="16" t="s">
        <v>11</v>
      </c>
      <c r="C155" s="4">
        <f>SUM(C149:C154)</f>
        <v>4.4993749999999997</v>
      </c>
      <c r="D155" s="4">
        <f t="shared" ref="D155" si="110">SUM(D149:D154)</f>
        <v>4.7344963561200135</v>
      </c>
      <c r="E155" s="4">
        <f t="shared" ref="E155" si="111">SUM(E149:E154)</f>
        <v>4.7344963561200135</v>
      </c>
      <c r="F155" s="4">
        <f t="shared" ref="F155" si="112">SUM(F149:F154)</f>
        <v>5.033425075018755</v>
      </c>
      <c r="G155" s="4">
        <f t="shared" ref="G155" si="113">SUM(G149:G154)</f>
        <v>5.033425075018755</v>
      </c>
      <c r="I155" s="4">
        <f>SUM(I149:I154)</f>
        <v>24.035217862277534</v>
      </c>
      <c r="J155">
        <f t="shared" ref="J155" si="114">SUM(J149:J154)</f>
        <v>1.0000000000000002</v>
      </c>
      <c r="R155" s="19">
        <f>SUM(R149:R154)</f>
        <v>0.99999999999999989</v>
      </c>
    </row>
    <row r="157" spans="2:18" ht="15.75" thickBot="1"/>
    <row r="158" spans="2:18" ht="16.5" thickBot="1">
      <c r="G158" s="20">
        <v>3200</v>
      </c>
      <c r="H158" s="21">
        <v>2933</v>
      </c>
      <c r="I158" s="21">
        <v>2933</v>
      </c>
      <c r="J158" s="21">
        <v>2666</v>
      </c>
      <c r="K158" s="21">
        <v>2666</v>
      </c>
    </row>
    <row r="159" spans="2:18" ht="16.5" thickBot="1">
      <c r="G159" s="20">
        <v>3200</v>
      </c>
      <c r="H159" s="21">
        <v>2933</v>
      </c>
      <c r="I159" s="21">
        <v>2933</v>
      </c>
      <c r="J159" s="21">
        <v>2666</v>
      </c>
      <c r="K159" s="21">
        <v>2666</v>
      </c>
    </row>
    <row r="160" spans="2:18" ht="16.5" thickBot="1">
      <c r="G160" s="20">
        <v>3200</v>
      </c>
      <c r="H160" s="21">
        <v>2933</v>
      </c>
      <c r="I160" s="21">
        <v>2933</v>
      </c>
      <c r="J160" s="21">
        <v>2666</v>
      </c>
      <c r="K160" s="21">
        <v>2666</v>
      </c>
    </row>
    <row r="161" spans="2:18" ht="16.5" thickBot="1">
      <c r="G161" s="20">
        <v>3200</v>
      </c>
      <c r="H161" s="21">
        <v>2933</v>
      </c>
      <c r="I161" s="21">
        <v>2933</v>
      </c>
      <c r="J161" s="21">
        <v>2666</v>
      </c>
      <c r="K161" s="21">
        <v>2666</v>
      </c>
    </row>
    <row r="162" spans="2:18" ht="16.5" thickBot="1">
      <c r="G162" s="20">
        <v>3200</v>
      </c>
      <c r="H162" s="21">
        <v>2933</v>
      </c>
      <c r="I162" s="21">
        <v>2933</v>
      </c>
      <c r="J162" s="21">
        <v>2666</v>
      </c>
      <c r="K162" s="21">
        <v>2666</v>
      </c>
    </row>
    <row r="164" spans="2:18">
      <c r="D164" s="22" t="s">
        <v>54</v>
      </c>
      <c r="E164" s="22"/>
      <c r="F164" s="22"/>
    </row>
    <row r="165" spans="2:18">
      <c r="D165" s="22"/>
      <c r="E165" s="22"/>
      <c r="F165" s="22"/>
    </row>
    <row r="166" spans="2:18" ht="15.75" thickBot="1"/>
    <row r="167" spans="2:18" ht="32.25" thickBot="1">
      <c r="B167" s="12"/>
      <c r="C167" s="13" t="s">
        <v>44</v>
      </c>
      <c r="D167" s="13" t="s">
        <v>43</v>
      </c>
      <c r="E167" s="13" t="s">
        <v>45</v>
      </c>
      <c r="F167" s="13" t="s">
        <v>46</v>
      </c>
      <c r="G167" s="13" t="s">
        <v>47</v>
      </c>
      <c r="H167" s="13"/>
      <c r="I167" s="13" t="s">
        <v>11</v>
      </c>
      <c r="J167" s="18" t="s">
        <v>42</v>
      </c>
      <c r="K167" s="12"/>
      <c r="L167" s="13" t="s">
        <v>44</v>
      </c>
      <c r="M167" s="13" t="s">
        <v>43</v>
      </c>
      <c r="N167" s="13" t="s">
        <v>45</v>
      </c>
      <c r="O167" s="13" t="s">
        <v>46</v>
      </c>
      <c r="P167" s="13" t="s">
        <v>47</v>
      </c>
      <c r="Q167" s="13"/>
      <c r="R167" s="13" t="s">
        <v>11</v>
      </c>
    </row>
    <row r="168" spans="2:18" ht="18" thickBot="1">
      <c r="B168" s="14" t="s">
        <v>48</v>
      </c>
      <c r="C168" s="4">
        <f>$G177/G177</f>
        <v>1</v>
      </c>
      <c r="D168" s="4">
        <f>H177/$G177</f>
        <v>0.75</v>
      </c>
      <c r="E168" s="4">
        <f>I177/$G177</f>
        <v>0.75</v>
      </c>
      <c r="F168" s="4">
        <f>J177/$G177</f>
        <v>0.5</v>
      </c>
      <c r="G168" s="4">
        <f>K177/$G177</f>
        <v>0.5</v>
      </c>
      <c r="H168" s="15"/>
      <c r="I168" s="11">
        <f>SUM(C168:H168)</f>
        <v>3.5</v>
      </c>
      <c r="J168" s="4">
        <f>I168/I$174</f>
        <v>0.15441176470588236</v>
      </c>
      <c r="K168" s="14" t="s">
        <v>35</v>
      </c>
      <c r="L168" s="15">
        <f>C168/C$174</f>
        <v>0.2857142857142857</v>
      </c>
      <c r="M168" s="15">
        <f t="shared" ref="M168:P172" si="115">D168/D$174</f>
        <v>0.18367346938775511</v>
      </c>
      <c r="N168" s="15">
        <f t="shared" si="115"/>
        <v>0.18367346938775511</v>
      </c>
      <c r="O168" s="15">
        <f t="shared" si="115"/>
        <v>9.0909090909090912E-2</v>
      </c>
      <c r="P168" s="15">
        <f t="shared" si="115"/>
        <v>9.0909090909090912E-2</v>
      </c>
      <c r="Q168" s="15"/>
      <c r="R168" s="11">
        <f>SUM(L168:Q168)/5</f>
        <v>0.16697588126159554</v>
      </c>
    </row>
    <row r="169" spans="2:18" ht="18" thickBot="1">
      <c r="B169" s="14" t="s">
        <v>43</v>
      </c>
      <c r="C169" s="4">
        <f>$H178/G177</f>
        <v>0.75</v>
      </c>
      <c r="D169" s="4">
        <f>$H178/H177</f>
        <v>1</v>
      </c>
      <c r="E169" s="4">
        <f>$H178/I177</f>
        <v>1</v>
      </c>
      <c r="F169" s="4">
        <f>$H178/J177</f>
        <v>1.5</v>
      </c>
      <c r="G169" s="4">
        <f>$H178/K177</f>
        <v>1.5</v>
      </c>
      <c r="H169" s="15"/>
      <c r="I169" s="15">
        <f t="shared" ref="I169:I172" si="116">SUM(C169:H169)</f>
        <v>5.75</v>
      </c>
      <c r="J169" s="4">
        <f t="shared" ref="J169:J172" si="117">I169/I$174</f>
        <v>0.25367647058823534</v>
      </c>
      <c r="K169" s="14" t="s">
        <v>36</v>
      </c>
      <c r="L169" s="15">
        <f t="shared" ref="L169:L172" si="118">C169/C$174</f>
        <v>0.21428571428571427</v>
      </c>
      <c r="M169" s="15">
        <f t="shared" si="115"/>
        <v>0.24489795918367349</v>
      </c>
      <c r="N169" s="15">
        <f t="shared" si="115"/>
        <v>0.24489795918367349</v>
      </c>
      <c r="O169" s="15">
        <f t="shared" si="115"/>
        <v>0.27272727272727271</v>
      </c>
      <c r="P169" s="15">
        <f t="shared" si="115"/>
        <v>0.27272727272727271</v>
      </c>
      <c r="Q169" s="15"/>
      <c r="R169" s="11">
        <f t="shared" ref="R169:R172" si="119">SUM(L169:Q169)/5</f>
        <v>0.24990723562152134</v>
      </c>
    </row>
    <row r="170" spans="2:18" ht="18" thickBot="1">
      <c r="B170" s="14" t="s">
        <v>45</v>
      </c>
      <c r="C170" s="11">
        <f>$I179/G179</f>
        <v>0.75</v>
      </c>
      <c r="D170" s="11">
        <f>$I179/H179</f>
        <v>1</v>
      </c>
      <c r="E170" s="11">
        <f>$I179/I179</f>
        <v>1</v>
      </c>
      <c r="F170" s="11">
        <f>$I179/J179</f>
        <v>1.5</v>
      </c>
      <c r="G170" s="11">
        <f>$I179/K179</f>
        <v>1.5</v>
      </c>
      <c r="H170" s="15"/>
      <c r="I170" s="15">
        <f t="shared" si="116"/>
        <v>5.75</v>
      </c>
      <c r="J170" s="4">
        <f t="shared" si="117"/>
        <v>0.25367647058823534</v>
      </c>
      <c r="K170" s="14" t="s">
        <v>37</v>
      </c>
      <c r="L170" s="15">
        <f t="shared" si="118"/>
        <v>0.21428571428571427</v>
      </c>
      <c r="M170" s="15">
        <f t="shared" si="115"/>
        <v>0.24489795918367349</v>
      </c>
      <c r="N170" s="15">
        <f t="shared" si="115"/>
        <v>0.24489795918367349</v>
      </c>
      <c r="O170" s="15">
        <f t="shared" si="115"/>
        <v>0.27272727272727271</v>
      </c>
      <c r="P170" s="15">
        <f t="shared" si="115"/>
        <v>0.27272727272727271</v>
      </c>
      <c r="Q170" s="15"/>
      <c r="R170" s="11">
        <f t="shared" si="119"/>
        <v>0.24990723562152134</v>
      </c>
    </row>
    <row r="171" spans="2:18" ht="18" thickBot="1">
      <c r="B171" s="14" t="s">
        <v>46</v>
      </c>
      <c r="C171" s="11">
        <f>$J180/G180</f>
        <v>0.5</v>
      </c>
      <c r="D171" s="11">
        <f>$J180/H180</f>
        <v>0.66666666666666663</v>
      </c>
      <c r="E171" s="11">
        <f>$J180/I180</f>
        <v>0.66666666666666663</v>
      </c>
      <c r="F171" s="11">
        <f>$J180/J180</f>
        <v>1</v>
      </c>
      <c r="G171" s="11">
        <f>$J180/K180</f>
        <v>1</v>
      </c>
      <c r="H171" s="15"/>
      <c r="I171" s="15">
        <f t="shared" si="116"/>
        <v>3.833333333333333</v>
      </c>
      <c r="J171" s="4">
        <f t="shared" si="117"/>
        <v>0.16911764705882354</v>
      </c>
      <c r="K171" s="14" t="s">
        <v>38</v>
      </c>
      <c r="L171" s="15">
        <f t="shared" si="118"/>
        <v>0.14285714285714285</v>
      </c>
      <c r="M171" s="15">
        <f t="shared" si="115"/>
        <v>0.16326530612244899</v>
      </c>
      <c r="N171" s="15">
        <f t="shared" si="115"/>
        <v>0.16326530612244899</v>
      </c>
      <c r="O171" s="15">
        <f t="shared" si="115"/>
        <v>0.18181818181818182</v>
      </c>
      <c r="P171" s="15">
        <f t="shared" si="115"/>
        <v>0.18181818181818182</v>
      </c>
      <c r="Q171" s="15"/>
      <c r="R171" s="11">
        <f t="shared" si="119"/>
        <v>0.16660482374768087</v>
      </c>
    </row>
    <row r="172" spans="2:18" ht="18" thickBot="1">
      <c r="B172" s="14" t="s">
        <v>47</v>
      </c>
      <c r="C172" s="11">
        <f>$K180/G181</f>
        <v>0.5</v>
      </c>
      <c r="D172" s="11">
        <f>$K180/H181</f>
        <v>0.66666666666666663</v>
      </c>
      <c r="E172" s="11">
        <f>$K180/I181</f>
        <v>0.66666666666666663</v>
      </c>
      <c r="F172" s="11">
        <f>$K180/J181</f>
        <v>1</v>
      </c>
      <c r="G172" s="11">
        <f>$K180/K181</f>
        <v>1</v>
      </c>
      <c r="H172" s="15"/>
      <c r="I172" s="15">
        <f t="shared" si="116"/>
        <v>3.833333333333333</v>
      </c>
      <c r="J172" s="4">
        <f t="shared" si="117"/>
        <v>0.16911764705882354</v>
      </c>
      <c r="K172" s="14" t="s">
        <v>39</v>
      </c>
      <c r="L172" s="15">
        <f t="shared" si="118"/>
        <v>0.14285714285714285</v>
      </c>
      <c r="M172" s="15">
        <f t="shared" si="115"/>
        <v>0.16326530612244899</v>
      </c>
      <c r="N172" s="15">
        <f t="shared" si="115"/>
        <v>0.16326530612244899</v>
      </c>
      <c r="O172" s="15">
        <f t="shared" si="115"/>
        <v>0.18181818181818182</v>
      </c>
      <c r="P172" s="15">
        <f t="shared" si="115"/>
        <v>0.18181818181818182</v>
      </c>
      <c r="Q172" s="15"/>
      <c r="R172" s="11">
        <f t="shared" si="119"/>
        <v>0.16660482374768087</v>
      </c>
    </row>
    <row r="173" spans="2:18" ht="16.5" thickBot="1">
      <c r="B173" s="14"/>
      <c r="C173" s="15"/>
      <c r="D173" s="15"/>
      <c r="E173" s="15"/>
      <c r="F173" s="15"/>
      <c r="G173" s="15"/>
      <c r="H173" s="15"/>
      <c r="I173" s="15"/>
      <c r="K173" s="14"/>
      <c r="L173" s="15"/>
      <c r="M173" s="15"/>
      <c r="N173" s="15"/>
      <c r="O173" s="15"/>
      <c r="P173" s="15"/>
      <c r="Q173" s="15"/>
      <c r="R173" s="15"/>
    </row>
    <row r="174" spans="2:18" ht="15.75">
      <c r="B174" s="16" t="s">
        <v>11</v>
      </c>
      <c r="C174" s="4">
        <f>SUM(C168:C173)</f>
        <v>3.5</v>
      </c>
      <c r="D174" s="4">
        <f t="shared" ref="D174" si="120">SUM(D168:D173)</f>
        <v>4.083333333333333</v>
      </c>
      <c r="E174" s="4">
        <f t="shared" ref="E174" si="121">SUM(E168:E173)</f>
        <v>4.083333333333333</v>
      </c>
      <c r="F174" s="4">
        <f t="shared" ref="F174" si="122">SUM(F168:F173)</f>
        <v>5.5</v>
      </c>
      <c r="G174" s="4">
        <f t="shared" ref="G174" si="123">SUM(G168:G173)</f>
        <v>5.5</v>
      </c>
      <c r="I174" s="4">
        <f>SUM(I168:I173)</f>
        <v>22.666666666666664</v>
      </c>
      <c r="J174">
        <f t="shared" ref="J174" si="124">SUM(J168:J173)</f>
        <v>1.0000000000000002</v>
      </c>
      <c r="R174" s="19">
        <f>SUM(R168:R173)</f>
        <v>1</v>
      </c>
    </row>
    <row r="176" spans="2:18" ht="15.75" thickBot="1"/>
    <row r="177" spans="2:11" ht="16.5" thickBot="1">
      <c r="G177" s="20">
        <v>8</v>
      </c>
      <c r="H177" s="21">
        <v>6</v>
      </c>
      <c r="I177" s="21">
        <v>6</v>
      </c>
      <c r="J177" s="21">
        <v>4</v>
      </c>
      <c r="K177" s="21">
        <v>4</v>
      </c>
    </row>
    <row r="178" spans="2:11" ht="16.5" thickBot="1">
      <c r="G178" s="20">
        <v>8</v>
      </c>
      <c r="H178" s="21">
        <v>6</v>
      </c>
      <c r="I178" s="21">
        <v>6</v>
      </c>
      <c r="J178" s="21">
        <v>4</v>
      </c>
      <c r="K178" s="21">
        <v>4</v>
      </c>
    </row>
    <row r="179" spans="2:11" ht="16.5" thickBot="1">
      <c r="G179" s="20">
        <v>8</v>
      </c>
      <c r="H179" s="21">
        <v>6</v>
      </c>
      <c r="I179" s="21">
        <v>6</v>
      </c>
      <c r="J179" s="21">
        <v>4</v>
      </c>
      <c r="K179" s="21">
        <v>4</v>
      </c>
    </row>
    <row r="180" spans="2:11" ht="16.5" thickBot="1">
      <c r="G180" s="20">
        <v>8</v>
      </c>
      <c r="H180" s="21">
        <v>6</v>
      </c>
      <c r="I180" s="21">
        <v>6</v>
      </c>
      <c r="J180" s="21">
        <v>4</v>
      </c>
      <c r="K180" s="21">
        <v>4</v>
      </c>
    </row>
    <row r="181" spans="2:11" ht="16.5" thickBot="1">
      <c r="G181" s="20">
        <v>8</v>
      </c>
      <c r="H181" s="21">
        <v>6</v>
      </c>
      <c r="I181" s="21">
        <v>6</v>
      </c>
      <c r="J181" s="21">
        <v>4</v>
      </c>
      <c r="K181" s="21">
        <v>4</v>
      </c>
    </row>
    <row r="185" spans="2:11" ht="15.75" thickBot="1"/>
    <row r="186" spans="2:11" ht="16.5" thickBot="1">
      <c r="B186" s="24"/>
      <c r="C186" s="9" t="s">
        <v>55</v>
      </c>
      <c r="D186" s="25" t="s">
        <v>56</v>
      </c>
      <c r="E186" s="25" t="s">
        <v>57</v>
      </c>
      <c r="F186" s="25" t="s">
        <v>58</v>
      </c>
      <c r="G186" s="25" t="s">
        <v>59</v>
      </c>
      <c r="H186" s="25" t="s">
        <v>60</v>
      </c>
      <c r="J186" s="27">
        <v>0.375</v>
      </c>
    </row>
    <row r="187" spans="2:11" ht="16.5" thickBot="1">
      <c r="B187" s="10" t="s">
        <v>30</v>
      </c>
      <c r="C187" s="26">
        <v>0.19</v>
      </c>
      <c r="D187" s="26">
        <v>0.19</v>
      </c>
      <c r="E187" s="26">
        <v>0.18</v>
      </c>
      <c r="F187" s="26">
        <v>0.17</v>
      </c>
      <c r="G187" s="26">
        <v>0.19</v>
      </c>
      <c r="H187" s="26">
        <v>0.17</v>
      </c>
      <c r="J187" s="28">
        <v>0.193</v>
      </c>
    </row>
    <row r="188" spans="2:11" ht="16.5" thickBot="1">
      <c r="B188" s="10" t="s">
        <v>31</v>
      </c>
      <c r="C188" s="26">
        <v>0.18</v>
      </c>
      <c r="D188" s="26">
        <v>0.21</v>
      </c>
      <c r="E188" s="26">
        <v>0.23</v>
      </c>
      <c r="F188" s="26">
        <v>0.28000000000000003</v>
      </c>
      <c r="G188" s="26">
        <v>0.21</v>
      </c>
      <c r="H188" s="26">
        <v>0.25</v>
      </c>
      <c r="J188" s="28">
        <v>0.106</v>
      </c>
    </row>
    <row r="189" spans="2:11" ht="16.5" thickBot="1">
      <c r="B189" s="10" t="s">
        <v>32</v>
      </c>
      <c r="C189" s="26">
        <v>0.2</v>
      </c>
      <c r="D189" s="26">
        <v>0.21</v>
      </c>
      <c r="E189" s="26">
        <v>0.21</v>
      </c>
      <c r="F189" s="26">
        <v>0.23</v>
      </c>
      <c r="G189" s="26">
        <v>0.21</v>
      </c>
      <c r="H189" s="26">
        <v>0.25</v>
      </c>
      <c r="J189" s="28">
        <v>8.7999999999999995E-2</v>
      </c>
    </row>
    <row r="190" spans="2:11" ht="16.5" thickBot="1">
      <c r="B190" s="10" t="s">
        <v>33</v>
      </c>
      <c r="C190" s="26">
        <v>0.21</v>
      </c>
      <c r="D190" s="26">
        <v>0.2</v>
      </c>
      <c r="E190" s="26">
        <v>0.2</v>
      </c>
      <c r="F190" s="26">
        <v>0.19</v>
      </c>
      <c r="G190" s="26">
        <v>0.19</v>
      </c>
      <c r="H190" s="26">
        <v>0.17</v>
      </c>
      <c r="J190" s="28">
        <v>0.105</v>
      </c>
    </row>
    <row r="191" spans="2:11" ht="16.5" thickBot="1">
      <c r="B191" s="10" t="s">
        <v>34</v>
      </c>
      <c r="C191" s="26">
        <v>0.23</v>
      </c>
      <c r="D191" s="26">
        <v>0.19</v>
      </c>
      <c r="E191" s="26">
        <v>0.18</v>
      </c>
      <c r="F191" s="26">
        <v>0.14000000000000001</v>
      </c>
      <c r="G191" s="26">
        <v>0.19</v>
      </c>
      <c r="H191" s="26">
        <v>0.17</v>
      </c>
      <c r="J191" s="28">
        <v>0.129</v>
      </c>
    </row>
    <row r="195" spans="3:3">
      <c r="C195">
        <f>$C187*J$186+$D187*J$187+$E187*J$188+$F187*J$189+$G187*J$190+$H187*J$191</f>
        <v>0.18384</v>
      </c>
    </row>
    <row r="196" spans="3:3">
      <c r="C196">
        <f>$C188*J$186+$D188*J$187+$E188*J$188+$F188*J$189+$G188*J$190+$H188*J$191</f>
        <v>0.21134999999999998</v>
      </c>
    </row>
    <row r="197" spans="3:3">
      <c r="C197">
        <f>$C189*J$186+$D189*J$187+$E189*J$188+$F189*J$189+$G189*J$190+$H189*J$191</f>
        <v>0.21232999999999999</v>
      </c>
    </row>
    <row r="198" spans="3:3">
      <c r="C198">
        <f t="shared" ref="C196:C199" si="125">$C190*J$186+$D190*J$187+$E190*J$188+$F190*J$189+$G190*J$190+$H190*J$191</f>
        <v>0.19715000000000002</v>
      </c>
    </row>
    <row r="199" spans="3:3">
      <c r="C199">
        <f t="shared" si="125"/>
        <v>0.19620000000000001</v>
      </c>
    </row>
    <row r="208" spans="3:3" ht="15.75" thickBot="1"/>
    <row r="209" spans="2:6" ht="63.75" thickBot="1">
      <c r="B209" s="8" t="s">
        <v>61</v>
      </c>
      <c r="C209" s="25" t="s">
        <v>62</v>
      </c>
      <c r="D209" s="25" t="s">
        <v>63</v>
      </c>
      <c r="E209" s="25" t="s">
        <v>64</v>
      </c>
      <c r="F209" s="25" t="s">
        <v>65</v>
      </c>
    </row>
  </sheetData>
  <mergeCells count="8">
    <mergeCell ref="D127:G127"/>
    <mergeCell ref="C145:F146"/>
    <mergeCell ref="D164:F165"/>
    <mergeCell ref="J7:M7"/>
    <mergeCell ref="F36:K48"/>
    <mergeCell ref="D69:H69"/>
    <mergeCell ref="D93:G93"/>
    <mergeCell ref="D110:G1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 Чудновский</dc:creator>
  <cp:lastModifiedBy>Захар Чудновский</cp:lastModifiedBy>
  <dcterms:created xsi:type="dcterms:W3CDTF">2025-09-19T08:52:11Z</dcterms:created>
  <dcterms:modified xsi:type="dcterms:W3CDTF">2025-09-22T01:38:17Z</dcterms:modified>
</cp:coreProperties>
</file>