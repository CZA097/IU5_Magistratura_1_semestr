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ZA097\Desktop\Учеба\Счастливо\АСОИиУ\"/>
    </mc:Choice>
  </mc:AlternateContent>
  <xr:revisionPtr revIDLastSave="0" documentId="13_ncr:1_{59947D74-1472-460B-9440-4C90077E35B4}" xr6:coauthVersionLast="47" xr6:coauthVersionMax="47" xr10:uidLastSave="{00000000-0000-0000-0000-000000000000}"/>
  <bookViews>
    <workbookView xWindow="0" yWindow="7800" windowWidth="19200" windowHeight="7800" firstSheet="1" activeTab="4" xr2:uid="{00000000-000D-0000-FFFF-FFFF00000000}"/>
  </bookViews>
  <sheets>
    <sheet name="задача 1" sheetId="5" r:id="rId1"/>
    <sheet name="задача 2" sheetId="6" r:id="rId2"/>
    <sheet name="задача 3" sheetId="1" r:id="rId3"/>
    <sheet name="задача 4" sheetId="3" r:id="rId4"/>
    <sheet name="задача 5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4" l="1"/>
  <c r="A23" i="4"/>
  <c r="C23" i="4"/>
  <c r="C18" i="4"/>
  <c r="B19" i="4"/>
  <c r="B18" i="4"/>
  <c r="E13" i="4"/>
  <c r="E12" i="4"/>
  <c r="G17" i="3" l="1"/>
  <c r="F17" i="3"/>
  <c r="D11" i="3"/>
  <c r="H3" i="1"/>
  <c r="F3" i="1"/>
  <c r="F7" i="1"/>
  <c r="C7" i="1"/>
  <c r="I10" i="6"/>
  <c r="H8" i="6"/>
  <c r="D10" i="6"/>
  <c r="A7" i="6"/>
  <c r="C7" i="5"/>
  <c r="B10" i="6"/>
  <c r="B7" i="6"/>
  <c r="E9" i="1"/>
  <c r="E8" i="1"/>
  <c r="E7" i="1"/>
  <c r="B9" i="1"/>
  <c r="B8" i="1"/>
  <c r="B7" i="1"/>
  <c r="F7" i="6"/>
  <c r="B10" i="5"/>
  <c r="F8" i="3"/>
  <c r="G9" i="1" l="1"/>
  <c r="G7" i="1"/>
  <c r="H7" i="1" s="1"/>
  <c r="D7" i="1"/>
  <c r="D7" i="6"/>
  <c r="G8" i="6"/>
  <c r="E7" i="6"/>
  <c r="G7" i="6" s="1"/>
  <c r="H7" i="6" s="1"/>
  <c r="E17" i="1"/>
  <c r="E18" i="1"/>
  <c r="D8" i="1"/>
  <c r="D18" i="1" s="1"/>
  <c r="C7" i="6"/>
  <c r="B7" i="5"/>
  <c r="A7" i="5"/>
  <c r="B12" i="4"/>
  <c r="B27" i="4" s="1"/>
  <c r="D7" i="4"/>
  <c r="B7" i="4"/>
  <c r="F7" i="3"/>
  <c r="C8" i="3"/>
  <c r="C7" i="3"/>
  <c r="B11" i="3"/>
  <c r="A18" i="1"/>
  <c r="A19" i="1"/>
  <c r="A17" i="1"/>
  <c r="D9" i="1"/>
  <c r="D19" i="1" s="1"/>
  <c r="G8" i="1" l="1"/>
  <c r="I8" i="6"/>
  <c r="J8" i="6"/>
  <c r="D7" i="5"/>
  <c r="F7" i="5" s="1"/>
  <c r="F10" i="5" s="1"/>
  <c r="E7" i="5"/>
  <c r="E10" i="5" s="1"/>
  <c r="J7" i="6"/>
  <c r="C11" i="3"/>
  <c r="D17" i="3" s="1"/>
  <c r="B13" i="4"/>
  <c r="C28" i="4" s="1"/>
  <c r="C12" i="4"/>
  <c r="B28" i="4"/>
  <c r="C19" i="4"/>
  <c r="C27" i="4"/>
  <c r="C8" i="1"/>
  <c r="C18" i="1" s="1"/>
  <c r="B18" i="1"/>
  <c r="C9" i="1"/>
  <c r="C19" i="1" s="1"/>
  <c r="B19" i="1"/>
  <c r="G19" i="1"/>
  <c r="D17" i="1"/>
  <c r="E19" i="1"/>
  <c r="B17" i="1"/>
  <c r="B12" i="3"/>
  <c r="C12" i="3" s="1"/>
  <c r="B13" i="3"/>
  <c r="C13" i="3" s="1"/>
  <c r="F12" i="4" l="1"/>
  <c r="A32" i="4"/>
  <c r="A22" i="4"/>
  <c r="F13" i="3"/>
  <c r="D19" i="3"/>
  <c r="G12" i="3"/>
  <c r="D18" i="3"/>
  <c r="E17" i="3"/>
  <c r="F9" i="1"/>
  <c r="F19" i="1" s="1"/>
  <c r="F8" i="1"/>
  <c r="F18" i="1" s="1"/>
  <c r="I7" i="6"/>
  <c r="E11" i="3"/>
  <c r="G11" i="3"/>
  <c r="F11" i="3"/>
  <c r="E19" i="3"/>
  <c r="D13" i="3"/>
  <c r="E13" i="3" s="1"/>
  <c r="G13" i="3"/>
  <c r="F12" i="3"/>
  <c r="G15" i="3"/>
  <c r="D12" i="3"/>
  <c r="E12" i="3" s="1"/>
  <c r="E18" i="3"/>
  <c r="H9" i="1"/>
  <c r="H14" i="1" s="1"/>
  <c r="H23" i="1" s="1"/>
  <c r="H8" i="1"/>
  <c r="G18" i="1"/>
  <c r="C17" i="1"/>
  <c r="G17" i="1"/>
  <c r="C32" i="4" l="1"/>
  <c r="C22" i="4"/>
  <c r="C31" i="4" s="1"/>
  <c r="F14" i="1"/>
  <c r="F23" i="1" s="1"/>
  <c r="F13" i="1"/>
  <c r="F22" i="1" s="1"/>
  <c r="H19" i="1"/>
  <c r="H13" i="1"/>
  <c r="H22" i="1" s="1"/>
  <c r="H18" i="1"/>
  <c r="H12" i="1"/>
  <c r="H21" i="1" s="1"/>
  <c r="H17" i="1"/>
  <c r="F17" i="1"/>
  <c r="F12" i="1"/>
  <c r="F21" i="1" s="1"/>
</calcChain>
</file>

<file path=xl/sharedStrings.xml><?xml version="1.0" encoding="utf-8"?>
<sst xmlns="http://schemas.openxmlformats.org/spreadsheetml/2006/main" count="98" uniqueCount="75">
  <si>
    <t>№</t>
  </si>
  <si>
    <t>Варианта</t>
  </si>
  <si>
    <t xml:space="preserve">Интенсивность входного потока заявок (1/с), </t>
  </si>
  <si>
    <t xml:space="preserve">Кол-во ОА, </t>
  </si>
  <si>
    <t xml:space="preserve">Загрузка одного ОА, </t>
  </si>
  <si>
    <t>Ёмкость буфера,</t>
  </si>
  <si>
    <t>1, 2, 3</t>
  </si>
  <si>
    <t>m</t>
  </si>
  <si>
    <t>lambda[c_m]</t>
  </si>
  <si>
    <t>U[m]</t>
  </si>
  <si>
    <t>Q[m]</t>
  </si>
  <si>
    <t>W[m]</t>
  </si>
  <si>
    <t>L[m]</t>
  </si>
  <si>
    <t>округление до 3 знаков после запятой:</t>
  </si>
  <si>
    <t>T[m]</t>
  </si>
  <si>
    <t>Интенсивность входного потока заявок (1/с)</t>
  </si>
  <si>
    <t xml:space="preserve">Интенсивность обработки заявок в ОА фаз (1/с), </t>
  </si>
  <si>
    <t>Вероятности переходов заявок между фазами</t>
  </si>
  <si>
    <t>задача 3</t>
  </si>
  <si>
    <t>задача 4</t>
  </si>
  <si>
    <t>Кол-во ОА в фазах</t>
  </si>
  <si>
    <t>№Варианта</t>
  </si>
  <si>
    <t>задача 5</t>
  </si>
  <si>
    <t xml:space="preserve">Среднее время обслуживания заявок (с), </t>
  </si>
  <si>
    <t xml:space="preserve">1-ый приоритет, </t>
  </si>
  <si>
    <t xml:space="preserve">2-ой приоритет, </t>
  </si>
  <si>
    <t>i</t>
  </si>
  <si>
    <t>lambda_i</t>
  </si>
  <si>
    <t>pi</t>
  </si>
  <si>
    <t>Qi</t>
  </si>
  <si>
    <t>Li</t>
  </si>
  <si>
    <t>Wi</t>
  </si>
  <si>
    <t>Проверка по другим формулам</t>
  </si>
  <si>
    <t>Ti</t>
  </si>
  <si>
    <t>Tсумм</t>
  </si>
  <si>
    <t>Без приоритетов</t>
  </si>
  <si>
    <t>p</t>
  </si>
  <si>
    <t>W</t>
  </si>
  <si>
    <t>для подсчета W</t>
  </si>
  <si>
    <t>Kэрл_i</t>
  </si>
  <si>
    <t>Относительные приоритеты</t>
  </si>
  <si>
    <t>вариант</t>
  </si>
  <si>
    <t xml:space="preserve">вариант (заявки какого приоритета важнее) </t>
  </si>
  <si>
    <t>W1</t>
  </si>
  <si>
    <t>W2</t>
  </si>
  <si>
    <t>проверка</t>
  </si>
  <si>
    <t>=</t>
  </si>
  <si>
    <t>Абсолютные приоритеты</t>
  </si>
  <si>
    <t>*1000</t>
  </si>
  <si>
    <t>задача 1</t>
  </si>
  <si>
    <t xml:space="preserve">Параметр Эрланга интервалов времени обслуживания, </t>
  </si>
  <si>
    <t>Параметр Эрланга интервалов времени входного потока,</t>
  </si>
  <si>
    <t>Q</t>
  </si>
  <si>
    <t>L</t>
  </si>
  <si>
    <t>T</t>
  </si>
  <si>
    <t>задача 2</t>
  </si>
  <si>
    <t xml:space="preserve">Вероятность повторной обработки заявок в OA, </t>
  </si>
  <si>
    <t>№ Варианта</t>
  </si>
  <si>
    <t>α</t>
  </si>
  <si>
    <t xml:space="preserve"> λ_вх = λ_вых =</t>
  </si>
  <si>
    <t>(ϑ_о)^2</t>
  </si>
  <si>
    <t>W[m]*10^3</t>
  </si>
  <si>
    <t>T[m]*10^3</t>
  </si>
  <si>
    <t>Q_(M/M/1)</t>
  </si>
  <si>
    <t>Q_(M/M/2)</t>
  </si>
  <si>
    <t>Q_(M/G/1)</t>
  </si>
  <si>
    <t>Интенсивность обслуживания заявок (1 / с), μ</t>
  </si>
  <si>
    <t>Интенсивность обслуживания заявок одним ОА (1 / с), μ</t>
  </si>
  <si>
    <t>В18</t>
  </si>
  <si>
    <t>В13</t>
  </si>
  <si>
    <t>В8</t>
  </si>
  <si>
    <t xml:space="preserve"> Pотк[m]=P[m+2]</t>
  </si>
  <si>
    <t>B23</t>
  </si>
  <si>
    <t>B3</t>
  </si>
  <si>
    <t>При С = 1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</si>
</sst>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16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2" fillId="0" borderId="0" xfId="0" applyFont="1" applyAlignment="1">
      <alignment horizontal="left"/>
    </xf>
    <xf numFmtId="0" fontId="6" fillId="0" borderId="9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1739265</xdr:colOff>
      <xdr:row>2</xdr:row>
      <xdr:rowOff>217170</xdr:rowOff>
    </xdr:from>
    <xdr:to>
      <xdr:col>1</xdr:col>
      <xdr:colOff>1849755</xdr:colOff>
      <xdr:row>2</xdr:row>
      <xdr:rowOff>457200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02F41AB-547D-D448-195A-C9941D9D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2265" y="626745"/>
          <a:ext cx="11049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1041363</xdr:colOff>
      <xdr:row>7</xdr:row>
      <xdr:rowOff>138019</xdr:rowOff>
    </xdr:from>
    <xdr:to>
      <xdr:col>1</xdr:col>
      <xdr:colOff>1155663</xdr:colOff>
      <xdr:row>9</xdr:row>
      <xdr:rowOff>4520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932E181-D4B7-7171-F024-D3B990D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6775" y="1990725"/>
          <a:ext cx="11430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1551214</xdr:colOff>
      <xdr:row>2</xdr:row>
      <xdr:rowOff>330925</xdr:rowOff>
    </xdr:from>
    <xdr:to>
      <xdr:col>3</xdr:col>
      <xdr:colOff>2008414</xdr:colOff>
      <xdr:row>2</xdr:row>
      <xdr:rowOff>620486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D3172B-3D44-228F-AC65-E772E264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689" y="740500"/>
          <a:ext cx="457200" cy="28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1367790</xdr:colOff>
      <xdr:row>2</xdr:row>
      <xdr:rowOff>321945</xdr:rowOff>
    </xdr:from>
    <xdr:to>
      <xdr:col>4</xdr:col>
      <xdr:colOff>1754505</xdr:colOff>
      <xdr:row>2</xdr:row>
      <xdr:rowOff>582930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4F3D817-3BFD-A516-C0EC-3E5AE3FAF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5365" y="731520"/>
          <a:ext cx="386715" cy="260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381000</xdr:colOff>
      <xdr:row>4</xdr:row>
      <xdr:rowOff>163830</xdr:rowOff>
    </xdr:from>
    <xdr:to>
      <xdr:col>0</xdr:col>
      <xdr:colOff>582930</xdr:colOff>
      <xdr:row>6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B7E371D-3734-B873-8DD9-DF05752E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62694"/>
          <a:ext cx="201930" cy="182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1008530</xdr:colOff>
      <xdr:row>4</xdr:row>
      <xdr:rowOff>168090</xdr:rowOff>
    </xdr:from>
    <xdr:to>
      <xdr:col>1</xdr:col>
      <xdr:colOff>1256180</xdr:colOff>
      <xdr:row>6</xdr:row>
      <xdr:rowOff>7845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15B26DA-66CC-046B-E72E-41FC5A268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1530" y="1456766"/>
          <a:ext cx="247650" cy="19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2</xdr:row>
      <xdr:rowOff>548640</xdr:rowOff>
    </xdr:from>
    <xdr:to>
      <xdr:col>1</xdr:col>
      <xdr:colOff>1264920</xdr:colOff>
      <xdr:row>2</xdr:row>
      <xdr:rowOff>788670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D3B446E-DEAA-A215-507E-409CCFD9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958215"/>
          <a:ext cx="10287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443865</xdr:colOff>
      <xdr:row>2</xdr:row>
      <xdr:rowOff>539115</xdr:rowOff>
    </xdr:from>
    <xdr:to>
      <xdr:col>2</xdr:col>
      <xdr:colOff>558165</xdr:colOff>
      <xdr:row>2</xdr:row>
      <xdr:rowOff>779145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02FC95B-5203-F675-B0A1-108705297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5190" y="948690"/>
          <a:ext cx="114300" cy="24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622753</xdr:colOff>
      <xdr:row>7</xdr:row>
      <xdr:rowOff>130447</xdr:rowOff>
    </xdr:from>
    <xdr:to>
      <xdr:col>3</xdr:col>
      <xdr:colOff>737053</xdr:colOff>
      <xdr:row>9</xdr:row>
      <xdr:rowOff>2177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16B4898-E6D4-4EF2-2F92-63541BFC3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896" y="2489018"/>
          <a:ext cx="114300" cy="234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1104900</xdr:colOff>
      <xdr:row>2</xdr:row>
      <xdr:rowOff>828675</xdr:rowOff>
    </xdr:from>
    <xdr:to>
      <xdr:col>4</xdr:col>
      <xdr:colOff>1504950</xdr:colOff>
      <xdr:row>2</xdr:row>
      <xdr:rowOff>1095375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CC85B5D-378A-C2D1-D534-0E33385C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238250"/>
          <a:ext cx="4000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600075</xdr:colOff>
      <xdr:row>2</xdr:row>
      <xdr:rowOff>847725</xdr:rowOff>
    </xdr:from>
    <xdr:to>
      <xdr:col>5</xdr:col>
      <xdr:colOff>723900</xdr:colOff>
      <xdr:row>2</xdr:row>
      <xdr:rowOff>1085850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31AF08A-ECB5-E4B0-2D88-6B1F0AF5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257300"/>
          <a:ext cx="1238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1737360</xdr:colOff>
      <xdr:row>2</xdr:row>
      <xdr:rowOff>114300</xdr:rowOff>
    </xdr:from>
    <xdr:to>
      <xdr:col>1</xdr:col>
      <xdr:colOff>1844040</xdr:colOff>
      <xdr:row>2</xdr:row>
      <xdr:rowOff>350520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AC87B07-D17D-76DC-3F25-7FADD219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6960" y="525780"/>
          <a:ext cx="10668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1051560</xdr:colOff>
      <xdr:row>2</xdr:row>
      <xdr:rowOff>0</xdr:rowOff>
    </xdr:from>
    <xdr:to>
      <xdr:col>2</xdr:col>
      <xdr:colOff>1165860</xdr:colOff>
      <xdr:row>2</xdr:row>
      <xdr:rowOff>236220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FF71BEA-184D-B608-6617-D77277EE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780" y="411480"/>
          <a:ext cx="1143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1021080</xdr:colOff>
      <xdr:row>2</xdr:row>
      <xdr:rowOff>76200</xdr:rowOff>
    </xdr:from>
    <xdr:to>
      <xdr:col>3</xdr:col>
      <xdr:colOff>1135380</xdr:colOff>
      <xdr:row>2</xdr:row>
      <xdr:rowOff>312420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AAD3928-FD38-A253-1E2A-754090DA1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87680"/>
          <a:ext cx="1143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731520</xdr:colOff>
      <xdr:row>2</xdr:row>
      <xdr:rowOff>99060</xdr:rowOff>
    </xdr:from>
    <xdr:to>
      <xdr:col>4</xdr:col>
      <xdr:colOff>929640</xdr:colOff>
      <xdr:row>2</xdr:row>
      <xdr:rowOff>335280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A27A1ED-0527-3FAF-BBE4-42D8AD14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10540"/>
          <a:ext cx="1981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</xdr:row>
      <xdr:rowOff>762000</xdr:rowOff>
    </xdr:from>
    <xdr:to>
      <xdr:col>6</xdr:col>
      <xdr:colOff>228600</xdr:colOff>
      <xdr:row>2</xdr:row>
      <xdr:rowOff>190500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8222B7C-C0C8-FAB6-098D-07587E027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140" y="952500"/>
          <a:ext cx="990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236220</xdr:colOff>
      <xdr:row>5</xdr:row>
      <xdr:rowOff>7620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E46F668-914F-F2C5-F8C1-5BC3A860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77340"/>
          <a:ext cx="23622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236220</xdr:colOff>
      <xdr:row>5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1A25785-3739-A8B6-3291-9431533C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77340"/>
          <a:ext cx="23622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236220</xdr:colOff>
      <xdr:row>5</xdr:row>
      <xdr:rowOff>7620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D35032-7F83-1D61-953F-AB1B68D8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77340"/>
          <a:ext cx="23622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236220</xdr:colOff>
      <xdr:row>5</xdr:row>
      <xdr:rowOff>7620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86066B4-D418-ADEE-A996-6C72EFE4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7340"/>
          <a:ext cx="23622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304800</xdr:colOff>
      <xdr:row>5</xdr:row>
      <xdr:rowOff>7620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AC257AB-AF25-6B4C-498F-FC1F03BD1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7734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504612</xdr:colOff>
      <xdr:row>1</xdr:row>
      <xdr:rowOff>318131</xdr:rowOff>
    </xdr:from>
    <xdr:to>
      <xdr:col>1</xdr:col>
      <xdr:colOff>664844</xdr:colOff>
      <xdr:row>2</xdr:row>
      <xdr:rowOff>159688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5D062B-F9E7-448B-9950-69501F70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581" y="508631"/>
          <a:ext cx="160232" cy="28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967947</xdr:colOff>
      <xdr:row>1</xdr:row>
      <xdr:rowOff>320403</xdr:rowOff>
    </xdr:from>
    <xdr:to>
      <xdr:col>3</xdr:col>
      <xdr:colOff>1172766</xdr:colOff>
      <xdr:row>2</xdr:row>
      <xdr:rowOff>123957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1ED4242-B964-D494-437E-F7D0674B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5431" y="510903"/>
          <a:ext cx="204819" cy="244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897281</xdr:colOff>
      <xdr:row>3</xdr:row>
      <xdr:rowOff>392274</xdr:rowOff>
    </xdr:from>
    <xdr:to>
      <xdr:col>1</xdr:col>
      <xdr:colOff>1080161</xdr:colOff>
      <xdr:row>4</xdr:row>
      <xdr:rowOff>156054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211B754-011F-9FD5-4851-DD922C25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706" y="1467425"/>
          <a:ext cx="182880" cy="233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706260</xdr:colOff>
      <xdr:row>3</xdr:row>
      <xdr:rowOff>413985</xdr:rowOff>
    </xdr:from>
    <xdr:to>
      <xdr:col>2</xdr:col>
      <xdr:colOff>889140</xdr:colOff>
      <xdr:row>4</xdr:row>
      <xdr:rowOff>177765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E5ABAB7-2AFD-A3A1-DAAB-C031B14B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8671" y="1489136"/>
          <a:ext cx="182880" cy="233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653723</xdr:colOff>
      <xdr:row>3</xdr:row>
      <xdr:rowOff>416910</xdr:rowOff>
    </xdr:from>
    <xdr:to>
      <xdr:col>3</xdr:col>
      <xdr:colOff>874703</xdr:colOff>
      <xdr:row>5</xdr:row>
      <xdr:rowOff>4563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E3522CE-EEDF-2777-B65D-58A922DBC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2489" y="1493748"/>
          <a:ext cx="220980" cy="25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568443</xdr:colOff>
      <xdr:row>3</xdr:row>
      <xdr:rowOff>397700</xdr:rowOff>
    </xdr:from>
    <xdr:to>
      <xdr:col>4</xdr:col>
      <xdr:colOff>789423</xdr:colOff>
      <xdr:row>5</xdr:row>
      <xdr:rowOff>319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8CCCA9C-3464-3DE2-CE96-09D195576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2766" y="1474538"/>
          <a:ext cx="220980" cy="268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C1" zoomScale="85" zoomScaleNormal="85" workbookViewId="0">
      <selection activeCell="E10" sqref="E10"/>
    </sheetView>
  </sheetViews>
  <sheetFormatPr defaultRowHeight="15" x14ac:dyDescent="0.25"/>
  <cols>
    <col min="1" max="1" width="16.7109375" customWidth="1"/>
    <col min="2" max="2" width="33.42578125" customWidth="1"/>
    <col min="3" max="3" width="21.7109375" customWidth="1"/>
    <col min="4" max="4" width="33.7109375" customWidth="1"/>
    <col min="5" max="5" width="31.7109375" customWidth="1"/>
    <col min="6" max="6" width="11.7109375" customWidth="1"/>
  </cols>
  <sheetData>
    <row r="1" spans="1:8" ht="15.75" thickBot="1" x14ac:dyDescent="0.3">
      <c r="A1" s="1" t="s">
        <v>49</v>
      </c>
    </row>
    <row r="2" spans="1:8" ht="17.649999999999999" customHeight="1" x14ac:dyDescent="0.25">
      <c r="A2" s="29" t="s">
        <v>21</v>
      </c>
      <c r="B2" s="29" t="s">
        <v>2</v>
      </c>
      <c r="C2" s="29" t="s">
        <v>66</v>
      </c>
      <c r="D2" s="32" t="s">
        <v>51</v>
      </c>
      <c r="E2" s="32" t="s">
        <v>50</v>
      </c>
    </row>
    <row r="3" spans="1:8" ht="50.65" customHeight="1" thickBot="1" x14ac:dyDescent="0.3">
      <c r="A3" s="30"/>
      <c r="B3" s="30"/>
      <c r="C3" s="30"/>
      <c r="D3" s="33"/>
      <c r="E3" s="33"/>
    </row>
    <row r="4" spans="1:8" ht="19.5" thickBot="1" x14ac:dyDescent="0.3">
      <c r="A4" s="4" t="s">
        <v>68</v>
      </c>
      <c r="B4" s="26">
        <v>20</v>
      </c>
      <c r="C4" s="27">
        <v>80</v>
      </c>
      <c r="D4" s="27">
        <v>10</v>
      </c>
      <c r="E4" s="27">
        <v>1</v>
      </c>
    </row>
    <row r="6" spans="1:8" x14ac:dyDescent="0.25">
      <c r="A6" s="16"/>
      <c r="C6" s="19" t="s">
        <v>52</v>
      </c>
      <c r="D6" s="19" t="s">
        <v>53</v>
      </c>
      <c r="E6" s="19" t="s">
        <v>37</v>
      </c>
      <c r="F6" s="19" t="s">
        <v>54</v>
      </c>
    </row>
    <row r="7" spans="1:8" x14ac:dyDescent="0.25">
      <c r="A7" s="16">
        <f>1/E4</f>
        <v>1</v>
      </c>
      <c r="B7" s="16">
        <f>1/D4</f>
        <v>0.1</v>
      </c>
      <c r="C7" s="16">
        <f>((A7+B7)*(B10^2))/(2*(1-B10))</f>
        <v>4.5833333333333337E-2</v>
      </c>
      <c r="D7" s="16">
        <f>C7+B10</f>
        <v>0.29583333333333334</v>
      </c>
      <c r="E7" s="16">
        <f>C7/B4</f>
        <v>2.2916666666666667E-3</v>
      </c>
      <c r="F7" s="16">
        <f>D7/B4</f>
        <v>1.4791666666666667E-2</v>
      </c>
      <c r="G7" s="16"/>
      <c r="H7" s="16"/>
    </row>
    <row r="8" spans="1:8" x14ac:dyDescent="0.25">
      <c r="A8" s="16"/>
      <c r="B8" s="16"/>
      <c r="C8" s="16"/>
      <c r="D8" s="16"/>
      <c r="E8" s="16"/>
      <c r="F8" s="16"/>
      <c r="G8" s="16"/>
      <c r="H8" s="16"/>
    </row>
    <row r="9" spans="1:8" x14ac:dyDescent="0.25">
      <c r="A9" s="16"/>
      <c r="B9" s="16"/>
      <c r="C9" s="16"/>
      <c r="D9" s="16"/>
      <c r="E9" s="31" t="s">
        <v>48</v>
      </c>
      <c r="F9" s="31"/>
      <c r="G9" s="16"/>
      <c r="H9" s="16"/>
    </row>
    <row r="10" spans="1:8" x14ac:dyDescent="0.25">
      <c r="A10" s="16"/>
      <c r="B10" s="16">
        <f>B4/C4</f>
        <v>0.25</v>
      </c>
      <c r="C10" s="16"/>
      <c r="D10" s="16"/>
      <c r="E10" s="16">
        <f>E7*1000</f>
        <v>2.2916666666666665</v>
      </c>
      <c r="F10" s="16">
        <f>F7*1000</f>
        <v>14.791666666666666</v>
      </c>
      <c r="G10" s="16"/>
      <c r="H10" s="16"/>
    </row>
    <row r="11" spans="1:8" x14ac:dyDescent="0.25">
      <c r="A11" s="16"/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  <row r="13" spans="1:8" x14ac:dyDescent="0.25">
      <c r="A13" s="16"/>
      <c r="B13" s="16"/>
      <c r="C13" s="16"/>
      <c r="D13" s="16"/>
      <c r="E13" s="16"/>
      <c r="F13" s="16"/>
      <c r="G13" s="16"/>
      <c r="H13" s="16"/>
    </row>
    <row r="14" spans="1:8" x14ac:dyDescent="0.25">
      <c r="A14" s="16"/>
      <c r="B14" s="16"/>
      <c r="C14" s="16"/>
      <c r="D14" s="16"/>
      <c r="E14" s="16"/>
      <c r="F14" s="16"/>
      <c r="G14" s="16"/>
      <c r="H14" s="16"/>
    </row>
    <row r="15" spans="1:8" x14ac:dyDescent="0.25">
      <c r="A15" s="16"/>
      <c r="B15" s="16"/>
      <c r="C15" s="16"/>
      <c r="D15" s="16"/>
      <c r="E15" s="16"/>
      <c r="F15" s="16"/>
      <c r="G15" s="16"/>
      <c r="H15" s="16"/>
    </row>
    <row r="16" spans="1:8" x14ac:dyDescent="0.25">
      <c r="A16" s="16"/>
      <c r="B16" s="16"/>
      <c r="C16" s="16"/>
      <c r="D16" s="16"/>
      <c r="E16" s="16"/>
      <c r="F16" s="16"/>
      <c r="G16" s="16"/>
      <c r="H16" s="16"/>
    </row>
    <row r="17" spans="1:8" x14ac:dyDescent="0.25">
      <c r="A17" s="16"/>
      <c r="B17" s="16"/>
      <c r="C17" s="16"/>
      <c r="D17" s="16"/>
      <c r="E17" s="16"/>
      <c r="F17" s="16"/>
      <c r="G17" s="16"/>
      <c r="H17" s="16"/>
    </row>
    <row r="18" spans="1:8" x14ac:dyDescent="0.25">
      <c r="A18" s="16"/>
      <c r="B18" s="16"/>
      <c r="C18" s="16"/>
      <c r="D18" s="16"/>
      <c r="E18" s="16"/>
      <c r="F18" s="16"/>
      <c r="G18" s="16"/>
      <c r="H18" s="16"/>
    </row>
  </sheetData>
  <mergeCells count="6">
    <mergeCell ref="A2:A3"/>
    <mergeCell ref="E9:F9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opLeftCell="B1" zoomScale="70" zoomScaleNormal="70" workbookViewId="0">
      <selection activeCell="J8" sqref="J8"/>
    </sheetView>
  </sheetViews>
  <sheetFormatPr defaultRowHeight="15" x14ac:dyDescent="0.25"/>
  <cols>
    <col min="1" max="1" width="20" customWidth="1"/>
    <col min="2" max="2" width="23.42578125" customWidth="1"/>
    <col min="3" max="3" width="16.7109375" customWidth="1"/>
    <col min="4" max="4" width="21" customWidth="1"/>
    <col min="5" max="5" width="25" customWidth="1"/>
    <col min="6" max="6" width="18.7109375" customWidth="1"/>
  </cols>
  <sheetData>
    <row r="1" spans="1:10" ht="15.75" thickBot="1" x14ac:dyDescent="0.3">
      <c r="A1" s="1" t="s">
        <v>55</v>
      </c>
    </row>
    <row r="2" spans="1:10" ht="17.649999999999999" customHeight="1" x14ac:dyDescent="0.25">
      <c r="A2" s="32" t="s">
        <v>57</v>
      </c>
      <c r="B2" s="32" t="s">
        <v>2</v>
      </c>
      <c r="C2" s="32" t="s">
        <v>3</v>
      </c>
      <c r="D2" s="32" t="s">
        <v>67</v>
      </c>
      <c r="E2" s="32" t="s">
        <v>50</v>
      </c>
      <c r="F2" s="32" t="s">
        <v>56</v>
      </c>
    </row>
    <row r="3" spans="1:10" ht="87.6" customHeight="1" thickBot="1" x14ac:dyDescent="0.3">
      <c r="A3" s="33"/>
      <c r="B3" s="33"/>
      <c r="C3" s="33"/>
      <c r="D3" s="33"/>
      <c r="E3" s="33"/>
      <c r="F3" s="33"/>
    </row>
    <row r="4" spans="1:10" ht="19.5" thickBot="1" x14ac:dyDescent="0.3">
      <c r="A4" s="4" t="s">
        <v>69</v>
      </c>
      <c r="B4" s="5">
        <v>15</v>
      </c>
      <c r="C4" s="25">
        <v>1</v>
      </c>
      <c r="D4" s="5">
        <v>60</v>
      </c>
      <c r="E4" s="5">
        <v>2</v>
      </c>
      <c r="F4" s="5">
        <v>0.1</v>
      </c>
    </row>
    <row r="6" spans="1:10" ht="18.75" x14ac:dyDescent="0.3">
      <c r="A6" s="7" t="s">
        <v>60</v>
      </c>
      <c r="B6" s="24" t="s">
        <v>59</v>
      </c>
      <c r="C6" s="7" t="s">
        <v>58</v>
      </c>
      <c r="D6" s="16" t="s">
        <v>63</v>
      </c>
      <c r="E6" s="16" t="s">
        <v>64</v>
      </c>
      <c r="F6" s="16" t="s">
        <v>65</v>
      </c>
      <c r="G6" s="19" t="s">
        <v>52</v>
      </c>
      <c r="H6" s="19" t="s">
        <v>53</v>
      </c>
      <c r="I6" s="19" t="s">
        <v>37</v>
      </c>
      <c r="J6" s="19" t="s">
        <v>54</v>
      </c>
    </row>
    <row r="7" spans="1:10" x14ac:dyDescent="0.25">
      <c r="A7" s="7">
        <f>1/E4</f>
        <v>0.5</v>
      </c>
      <c r="B7" s="7">
        <f>B4/(1-F4)</f>
        <v>16.666666666666668</v>
      </c>
      <c r="C7" s="7">
        <f>1/(1-F4)</f>
        <v>1.1111111111111112</v>
      </c>
      <c r="D7" s="17">
        <f>(D10^2)/(1-D10)</f>
        <v>8.3333333333333329E-2</v>
      </c>
      <c r="E7" s="17">
        <f>(2*D10^3)/(1-D10^2)</f>
        <v>3.3333333333333333E-2</v>
      </c>
      <c r="F7" s="17">
        <f>((1+A7)*D10^2)/(2*(1-D10))</f>
        <v>6.25E-2</v>
      </c>
      <c r="G7" s="17">
        <f>(F7*E7)/D7</f>
        <v>2.5000000000000001E-2</v>
      </c>
      <c r="H7" s="9">
        <f>G7+2*D4</f>
        <v>120.02500000000001</v>
      </c>
      <c r="I7" s="8">
        <f>(G7*C7)/B7</f>
        <v>1.6666666666666666E-3</v>
      </c>
      <c r="J7" s="9">
        <f>H7*C7/B7</f>
        <v>8.0016666666666669</v>
      </c>
    </row>
    <row r="8" spans="1:10" x14ac:dyDescent="0.25">
      <c r="A8" s="7"/>
      <c r="B8" s="7"/>
      <c r="C8" s="7"/>
      <c r="D8" s="7"/>
      <c r="E8" s="7"/>
      <c r="F8" s="20" t="s">
        <v>74</v>
      </c>
      <c r="G8">
        <f>(D10^2)/(1-D10)</f>
        <v>8.3333333333333329E-2</v>
      </c>
      <c r="H8">
        <f>G8+D10</f>
        <v>0.33333333333333331</v>
      </c>
      <c r="I8">
        <f>(G8/B7)*C7</f>
        <v>5.5555555555555549E-3</v>
      </c>
      <c r="J8">
        <f>(H8/B7)*C7</f>
        <v>2.222222222222222E-2</v>
      </c>
    </row>
    <row r="9" spans="1:10" x14ac:dyDescent="0.25">
      <c r="A9" s="20" t="s">
        <v>45</v>
      </c>
      <c r="B9" s="7"/>
      <c r="C9" s="7"/>
      <c r="D9" s="7"/>
      <c r="E9" s="7"/>
      <c r="F9" s="7"/>
    </row>
    <row r="10" spans="1:10" x14ac:dyDescent="0.25">
      <c r="B10" s="7">
        <f>B4*C7</f>
        <v>16.666666666666668</v>
      </c>
      <c r="D10">
        <f>B4/D4</f>
        <v>0.25</v>
      </c>
      <c r="I10">
        <f>I8*1000</f>
        <v>5.5555555555555545</v>
      </c>
      <c r="J10" s="9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topLeftCell="B1" zoomScale="80" workbookViewId="0">
      <selection activeCell="H4" sqref="H4"/>
    </sheetView>
  </sheetViews>
  <sheetFormatPr defaultRowHeight="15" x14ac:dyDescent="0.25"/>
  <cols>
    <col min="1" max="1" width="10.7109375" customWidth="1"/>
    <col min="2" max="2" width="33.42578125" customWidth="1"/>
    <col min="3" max="3" width="18.7109375" customWidth="1"/>
    <col min="4" max="4" width="17.7109375" customWidth="1"/>
    <col min="5" max="5" width="16.42578125" customWidth="1"/>
    <col min="6" max="6" width="11.7109375" customWidth="1"/>
    <col min="7" max="8" width="12.42578125" bestFit="1" customWidth="1"/>
  </cols>
  <sheetData>
    <row r="1" spans="1:8" ht="15.75" thickBot="1" x14ac:dyDescent="0.3">
      <c r="A1" s="1" t="s">
        <v>18</v>
      </c>
    </row>
    <row r="2" spans="1:8" ht="18.75" x14ac:dyDescent="0.25">
      <c r="A2" s="2" t="s">
        <v>0</v>
      </c>
      <c r="B2" s="29" t="s">
        <v>2</v>
      </c>
      <c r="C2" s="29" t="s">
        <v>3</v>
      </c>
      <c r="D2" s="29" t="s">
        <v>4</v>
      </c>
      <c r="E2" s="29" t="s">
        <v>5</v>
      </c>
    </row>
    <row r="3" spans="1:8" ht="38.25" thickBot="1" x14ac:dyDescent="0.3">
      <c r="A3" s="3" t="s">
        <v>1</v>
      </c>
      <c r="B3" s="30"/>
      <c r="C3" s="30"/>
      <c r="D3" s="30"/>
      <c r="E3" s="30"/>
      <c r="F3">
        <f>1000*1</f>
        <v>1000</v>
      </c>
      <c r="H3">
        <f>1000*H7</f>
        <v>110.00000000000001</v>
      </c>
    </row>
    <row r="4" spans="1:8" ht="19.5" thickBot="1" x14ac:dyDescent="0.3">
      <c r="A4" s="4" t="s">
        <v>70</v>
      </c>
      <c r="B4" s="26">
        <v>10</v>
      </c>
      <c r="C4" s="27">
        <v>2</v>
      </c>
      <c r="D4" s="27">
        <v>0.5</v>
      </c>
      <c r="E4" s="5" t="s">
        <v>6</v>
      </c>
    </row>
    <row r="6" spans="1:8" x14ac:dyDescent="0.25">
      <c r="A6" s="23" t="s">
        <v>7</v>
      </c>
      <c r="B6" s="20" t="s">
        <v>71</v>
      </c>
      <c r="C6" s="1" t="s">
        <v>8</v>
      </c>
      <c r="D6" s="20" t="s">
        <v>9</v>
      </c>
      <c r="E6" s="20" t="s">
        <v>10</v>
      </c>
      <c r="F6" s="20" t="s">
        <v>11</v>
      </c>
      <c r="G6" s="20" t="s">
        <v>12</v>
      </c>
      <c r="H6" s="20" t="s">
        <v>14</v>
      </c>
    </row>
    <row r="7" spans="1:8" x14ac:dyDescent="0.25">
      <c r="A7">
        <v>1</v>
      </c>
      <c r="B7" s="7">
        <f>(2*$D$4^(A7+2)-2*$D$4^(A7+3))/(1+$D$4-2*$D$4^(A7+3))</f>
        <v>9.0909090909090912E-2</v>
      </c>
      <c r="C7" s="7">
        <f>(1-B7)*$B$4</f>
        <v>9.0909090909090899</v>
      </c>
      <c r="D7" s="7">
        <f>(1-B7)*$D$4</f>
        <v>0.45454545454545453</v>
      </c>
      <c r="E7" s="7">
        <f>2*(A7*$D$4^(A7+4) - A7*$D$4^(A7+3) - $D$4^(A7+3) + $D$4^3) / ((1-$D$4)*(1+$D$4 - 2*$D$4^(A7+3)))</f>
        <v>9.0909090909090912E-2</v>
      </c>
      <c r="F7">
        <f>E7/C7</f>
        <v>1.0000000000000002E-2</v>
      </c>
      <c r="G7">
        <f>E7+2*D7</f>
        <v>1</v>
      </c>
      <c r="H7">
        <f>G7/C7</f>
        <v>0.11000000000000001</v>
      </c>
    </row>
    <row r="8" spans="1:8" x14ac:dyDescent="0.25">
      <c r="A8">
        <v>2</v>
      </c>
      <c r="B8" s="7">
        <f>(2*$D$4^(A8+2)-2*$D$4^(A8+3))/(1+$D$4-2*$D$4^(A8+3))</f>
        <v>4.3478260869565216E-2</v>
      </c>
      <c r="C8" s="7">
        <f t="shared" ref="C8:C9" si="0">(1-B8)*$B$4</f>
        <v>9.5652173913043477</v>
      </c>
      <c r="D8" s="7">
        <f t="shared" ref="D8:D9" si="1">(1-B8)*$D$4</f>
        <v>0.47826086956521741</v>
      </c>
      <c r="E8" s="7">
        <f>2*(A8*$D$4^(A8+4) - A8*$D$4^(A8+3) - $D$4^(A8+3) + $D$4^3) / ((1-$D$4)*(1+$D$4 - 2*$D$4^(A8+3)))</f>
        <v>0.17391304347826086</v>
      </c>
      <c r="F8">
        <f t="shared" ref="F8:F9" si="2">E8/C8</f>
        <v>1.8181818181818181E-2</v>
      </c>
      <c r="G8">
        <f>E8+2*D8</f>
        <v>1.1304347826086958</v>
      </c>
      <c r="H8">
        <f t="shared" ref="H8:H9" si="3">G8/C8</f>
        <v>0.11818181818181819</v>
      </c>
    </row>
    <row r="9" spans="1:8" x14ac:dyDescent="0.25">
      <c r="A9">
        <v>3</v>
      </c>
      <c r="B9" s="7">
        <f>(2*$D$4^(A9+2)-2*$D$4^(A9+3))/(1+$D$4-2*$D$4^(A9+3))</f>
        <v>2.1276595744680851E-2</v>
      </c>
      <c r="C9" s="7">
        <f t="shared" si="0"/>
        <v>9.787234042553191</v>
      </c>
      <c r="D9" s="7">
        <f t="shared" si="1"/>
        <v>0.48936170212765956</v>
      </c>
      <c r="E9" s="7">
        <f>2*(A9*$D$4^(A9+4) - A9*$D$4^(A9+3) - $D$4^(A9+3) + $D$4^3) / ((1-$D$4)*(1+$D$4 - 2*$D$4^(A9+3)))</f>
        <v>0.23404255319148937</v>
      </c>
      <c r="F9">
        <f t="shared" si="2"/>
        <v>2.391304347826087E-2</v>
      </c>
      <c r="G9">
        <f>E9+2*D9</f>
        <v>1.2127659574468086</v>
      </c>
      <c r="H9">
        <f t="shared" si="3"/>
        <v>0.12391304347826089</v>
      </c>
    </row>
    <row r="11" spans="1:8" x14ac:dyDescent="0.25">
      <c r="F11" t="s">
        <v>61</v>
      </c>
      <c r="H11" t="s">
        <v>62</v>
      </c>
    </row>
    <row r="12" spans="1:8" x14ac:dyDescent="0.25">
      <c r="F12">
        <f>F7*1000</f>
        <v>10.000000000000002</v>
      </c>
      <c r="H12">
        <f>H7*1000</f>
        <v>110.00000000000001</v>
      </c>
    </row>
    <row r="13" spans="1:8" x14ac:dyDescent="0.25">
      <c r="F13">
        <f t="shared" ref="F13:F14" si="4">F8*1000</f>
        <v>18.18181818181818</v>
      </c>
      <c r="H13">
        <f t="shared" ref="H13:H14" si="5">H8*1000</f>
        <v>118.18181818181819</v>
      </c>
    </row>
    <row r="14" spans="1:8" x14ac:dyDescent="0.25">
      <c r="F14">
        <f t="shared" si="4"/>
        <v>23.913043478260871</v>
      </c>
      <c r="H14">
        <f t="shared" si="5"/>
        <v>123.91304347826089</v>
      </c>
    </row>
    <row r="15" spans="1:8" x14ac:dyDescent="0.25">
      <c r="A15" t="s">
        <v>13</v>
      </c>
    </row>
    <row r="17" spans="1:8" x14ac:dyDescent="0.25">
      <c r="A17">
        <f>A7</f>
        <v>1</v>
      </c>
      <c r="B17" s="9">
        <f t="shared" ref="B17:H17" si="6">B7</f>
        <v>9.0909090909090912E-2</v>
      </c>
      <c r="C17" s="9">
        <f t="shared" si="6"/>
        <v>9.0909090909090899</v>
      </c>
      <c r="D17" s="9">
        <f t="shared" si="6"/>
        <v>0.45454545454545453</v>
      </c>
      <c r="E17" s="9">
        <f t="shared" si="6"/>
        <v>9.0909090909090912E-2</v>
      </c>
      <c r="F17" s="9">
        <f t="shared" si="6"/>
        <v>1.0000000000000002E-2</v>
      </c>
      <c r="G17" s="9">
        <f t="shared" si="6"/>
        <v>1</v>
      </c>
      <c r="H17" s="9">
        <f t="shared" si="6"/>
        <v>0.11000000000000001</v>
      </c>
    </row>
    <row r="18" spans="1:8" x14ac:dyDescent="0.25">
      <c r="A18">
        <f t="shared" ref="A18:H19" si="7">A8</f>
        <v>2</v>
      </c>
      <c r="B18" s="9">
        <f t="shared" si="7"/>
        <v>4.3478260869565216E-2</v>
      </c>
      <c r="C18" s="9">
        <f t="shared" si="7"/>
        <v>9.5652173913043477</v>
      </c>
      <c r="D18" s="9">
        <f t="shared" si="7"/>
        <v>0.47826086956521741</v>
      </c>
      <c r="E18" s="9">
        <f t="shared" si="7"/>
        <v>0.17391304347826086</v>
      </c>
      <c r="F18" s="9">
        <f t="shared" si="7"/>
        <v>1.8181818181818181E-2</v>
      </c>
      <c r="G18" s="9">
        <f t="shared" si="7"/>
        <v>1.1304347826086958</v>
      </c>
      <c r="H18" s="9">
        <f t="shared" si="7"/>
        <v>0.11818181818181819</v>
      </c>
    </row>
    <row r="19" spans="1:8" x14ac:dyDescent="0.25">
      <c r="A19">
        <f t="shared" si="7"/>
        <v>3</v>
      </c>
      <c r="B19" s="9">
        <f t="shared" si="7"/>
        <v>2.1276595744680851E-2</v>
      </c>
      <c r="C19" s="9">
        <f t="shared" si="7"/>
        <v>9.787234042553191</v>
      </c>
      <c r="D19" s="9">
        <f t="shared" si="7"/>
        <v>0.48936170212765956</v>
      </c>
      <c r="E19" s="9">
        <f t="shared" si="7"/>
        <v>0.23404255319148937</v>
      </c>
      <c r="F19" s="9">
        <f t="shared" si="7"/>
        <v>2.391304347826087E-2</v>
      </c>
      <c r="G19" s="9">
        <f t="shared" si="7"/>
        <v>1.2127659574468086</v>
      </c>
      <c r="H19" s="9">
        <f t="shared" si="7"/>
        <v>0.12391304347826089</v>
      </c>
    </row>
    <row r="21" spans="1:8" x14ac:dyDescent="0.25">
      <c r="F21" s="9">
        <f>F12</f>
        <v>10.000000000000002</v>
      </c>
      <c r="G21" s="9"/>
      <c r="H21" s="9">
        <f>H12</f>
        <v>110.00000000000001</v>
      </c>
    </row>
    <row r="22" spans="1:8" x14ac:dyDescent="0.25">
      <c r="F22" s="9">
        <f t="shared" ref="F22:F23" si="8">F13</f>
        <v>18.18181818181818</v>
      </c>
      <c r="G22" s="9"/>
      <c r="H22" s="9">
        <f t="shared" ref="H22:H23" si="9">H13</f>
        <v>118.18181818181819</v>
      </c>
    </row>
    <row r="23" spans="1:8" x14ac:dyDescent="0.25">
      <c r="F23" s="9">
        <f t="shared" si="8"/>
        <v>23.913043478260871</v>
      </c>
      <c r="G23" s="9"/>
      <c r="H23" s="9">
        <f t="shared" si="9"/>
        <v>123.91304347826089</v>
      </c>
    </row>
  </sheetData>
  <mergeCells count="4">
    <mergeCell ref="B2:B3"/>
    <mergeCell ref="C2:C3"/>
    <mergeCell ref="D2:D3"/>
    <mergeCell ref="E2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topLeftCell="A2" zoomScale="85" zoomScaleNormal="85" workbookViewId="0">
      <selection activeCell="G18" sqref="G18"/>
    </sheetView>
  </sheetViews>
  <sheetFormatPr defaultRowHeight="15" x14ac:dyDescent="0.25"/>
  <cols>
    <col min="1" max="1" width="15.5703125" customWidth="1"/>
    <col min="2" max="2" width="18.28515625" customWidth="1"/>
  </cols>
  <sheetData>
    <row r="1" spans="1:14" ht="15.75" thickBot="1" x14ac:dyDescent="0.3">
      <c r="A1" s="1" t="s">
        <v>19</v>
      </c>
    </row>
    <row r="2" spans="1:14" ht="61.9" customHeight="1" x14ac:dyDescent="0.25">
      <c r="A2" s="34" t="s">
        <v>21</v>
      </c>
      <c r="B2" s="34" t="s">
        <v>15</v>
      </c>
      <c r="C2" s="38" t="s">
        <v>20</v>
      </c>
      <c r="D2" s="39"/>
      <c r="E2" s="40"/>
      <c r="F2" s="38" t="s">
        <v>16</v>
      </c>
      <c r="G2" s="39"/>
      <c r="H2" s="40"/>
      <c r="I2" s="38" t="s">
        <v>17</v>
      </c>
      <c r="J2" s="39"/>
      <c r="K2" s="39"/>
      <c r="L2" s="39"/>
      <c r="M2" s="40"/>
    </row>
    <row r="3" spans="1:14" ht="31.15" customHeight="1" x14ac:dyDescent="0.25">
      <c r="A3" s="35"/>
      <c r="B3" s="35"/>
      <c r="C3" s="41"/>
      <c r="D3" s="42"/>
      <c r="E3" s="43"/>
      <c r="F3" s="41"/>
      <c r="G3" s="42"/>
      <c r="H3" s="43"/>
      <c r="I3" s="41"/>
      <c r="J3" s="42"/>
      <c r="K3" s="42"/>
      <c r="L3" s="42"/>
      <c r="M3" s="43"/>
    </row>
    <row r="4" spans="1:14" ht="15" customHeight="1" thickBot="1" x14ac:dyDescent="0.3">
      <c r="A4" s="36"/>
      <c r="B4" s="36"/>
      <c r="C4" s="44"/>
      <c r="D4" s="45"/>
      <c r="E4" s="46"/>
      <c r="F4" s="44"/>
      <c r="G4" s="45"/>
      <c r="H4" s="46"/>
      <c r="I4" s="44"/>
      <c r="J4" s="45"/>
      <c r="K4" s="45"/>
      <c r="L4" s="45"/>
      <c r="M4" s="46"/>
    </row>
    <row r="5" spans="1:14" ht="16.5" thickBot="1" x14ac:dyDescent="0.3">
      <c r="A5" s="10"/>
      <c r="B5" s="11"/>
      <c r="C5" s="12">
        <v>1</v>
      </c>
      <c r="D5" s="12">
        <v>2</v>
      </c>
      <c r="E5" s="12">
        <v>3</v>
      </c>
      <c r="F5" s="12">
        <v>1</v>
      </c>
      <c r="G5" s="12">
        <v>2</v>
      </c>
      <c r="H5" s="12">
        <v>3</v>
      </c>
      <c r="I5" s="13"/>
      <c r="J5" s="13"/>
      <c r="K5" s="13"/>
      <c r="L5" s="13"/>
      <c r="M5" s="13"/>
    </row>
    <row r="6" spans="1:14" ht="19.5" thickBot="1" x14ac:dyDescent="0.3">
      <c r="A6" s="14" t="s">
        <v>73</v>
      </c>
      <c r="B6" s="26">
        <v>1</v>
      </c>
      <c r="C6" s="27">
        <v>1</v>
      </c>
      <c r="D6" s="27">
        <v>1</v>
      </c>
      <c r="E6" s="27">
        <v>1</v>
      </c>
      <c r="F6" s="27">
        <v>10</v>
      </c>
      <c r="G6" s="27">
        <v>10</v>
      </c>
      <c r="H6" s="27">
        <v>5</v>
      </c>
      <c r="I6" s="27">
        <v>0.8</v>
      </c>
      <c r="J6" s="27">
        <v>0.2</v>
      </c>
      <c r="K6" s="27">
        <v>0.5</v>
      </c>
      <c r="L6" s="27">
        <v>1</v>
      </c>
      <c r="M6" s="27">
        <v>0.5</v>
      </c>
    </row>
    <row r="7" spans="1:14" x14ac:dyDescent="0.25">
      <c r="C7">
        <f>D6</f>
        <v>1</v>
      </c>
      <c r="F7">
        <f>G6</f>
        <v>10</v>
      </c>
    </row>
    <row r="8" spans="1:14" x14ac:dyDescent="0.25">
      <c r="C8">
        <f>E6</f>
        <v>1</v>
      </c>
      <c r="F8">
        <f>H6</f>
        <v>5</v>
      </c>
    </row>
    <row r="10" spans="1:14" x14ac:dyDescent="0.25">
      <c r="A10" s="19" t="s">
        <v>26</v>
      </c>
      <c r="B10" s="19" t="s">
        <v>27</v>
      </c>
      <c r="C10" s="19" t="s">
        <v>28</v>
      </c>
      <c r="D10" s="19" t="s">
        <v>29</v>
      </c>
      <c r="E10" s="19" t="s">
        <v>30</v>
      </c>
      <c r="F10" s="19" t="s">
        <v>31</v>
      </c>
      <c r="G10" s="19" t="s">
        <v>33</v>
      </c>
      <c r="H10" s="16"/>
      <c r="I10" s="16"/>
      <c r="J10" s="16"/>
      <c r="K10" s="16"/>
      <c r="L10" s="16"/>
      <c r="M10" s="16"/>
      <c r="N10" s="16"/>
    </row>
    <row r="11" spans="1:14" x14ac:dyDescent="0.25">
      <c r="A11" s="18">
        <v>1</v>
      </c>
      <c r="B11" s="17">
        <f>$B$6/(1-$I$6*$K$6-$J$6)</f>
        <v>2.5</v>
      </c>
      <c r="C11" s="17">
        <f>B11/(F6*C6)</f>
        <v>0.25</v>
      </c>
      <c r="D11" s="17">
        <f>(C6*(C11^(C6+1)))/(1-(C11^C6))</f>
        <v>8.3333333333333329E-2</v>
      </c>
      <c r="E11" s="17">
        <f>D11+C6*C11</f>
        <v>0.33333333333333331</v>
      </c>
      <c r="F11" s="28">
        <f>(C11^(C6))/((1-(C11^C6))*F6)</f>
        <v>3.3333333333333333E-2</v>
      </c>
      <c r="G11" s="17">
        <f>1/((1-(C11^C6))*F6)</f>
        <v>0.13333333333333333</v>
      </c>
      <c r="H11" s="17"/>
      <c r="I11" s="17"/>
      <c r="J11" s="17"/>
      <c r="K11" s="17"/>
      <c r="L11" s="17"/>
      <c r="M11" s="17"/>
      <c r="N11" s="16"/>
    </row>
    <row r="12" spans="1:14" x14ac:dyDescent="0.25">
      <c r="A12" s="18">
        <v>2</v>
      </c>
      <c r="B12" s="17">
        <f>$B$11*$I$6</f>
        <v>2</v>
      </c>
      <c r="C12" s="17">
        <f>B12/(F7*C7)</f>
        <v>0.2</v>
      </c>
      <c r="D12" s="17">
        <f t="shared" ref="D12:D13" si="0">(C7*(C12^(C7+1)))/(1-(C12^C7))</f>
        <v>5.000000000000001E-2</v>
      </c>
      <c r="E12" s="17">
        <f t="shared" ref="E12:E13" si="1">D12+C7*C12</f>
        <v>0.25</v>
      </c>
      <c r="F12" s="28">
        <f>(C12^(C7))/((1-(C12^C7))*F7)</f>
        <v>2.5000000000000001E-2</v>
      </c>
      <c r="G12" s="17">
        <f>1/((1-(C12^C7))*F7)</f>
        <v>0.125</v>
      </c>
      <c r="H12" s="17"/>
      <c r="I12" s="17"/>
      <c r="J12" s="17"/>
      <c r="K12" s="17"/>
      <c r="L12" s="17"/>
      <c r="M12" s="17"/>
      <c r="N12" s="16"/>
    </row>
    <row r="13" spans="1:14" x14ac:dyDescent="0.25">
      <c r="A13" s="18">
        <v>3</v>
      </c>
      <c r="B13" s="17">
        <f>($B$11*$J$6)/$L$6</f>
        <v>0.5</v>
      </c>
      <c r="C13" s="17">
        <f>B13/(F8*C8)</f>
        <v>0.1</v>
      </c>
      <c r="D13" s="17">
        <f t="shared" si="0"/>
        <v>1.1111111111111113E-2</v>
      </c>
      <c r="E13" s="17">
        <f t="shared" si="1"/>
        <v>0.11111111111111112</v>
      </c>
      <c r="F13" s="28">
        <f>(C13^(C8))/((1-(C13^C8))*F8)</f>
        <v>2.2222222222222223E-2</v>
      </c>
      <c r="G13" s="17">
        <f t="shared" ref="G13" si="2">1/((1-(C13^C8))*F8)</f>
        <v>0.22222222222222221</v>
      </c>
      <c r="H13" s="17"/>
      <c r="I13" s="17"/>
      <c r="J13" s="17"/>
      <c r="K13" s="17"/>
      <c r="L13" s="17"/>
      <c r="M13" s="17"/>
      <c r="N13" s="16"/>
    </row>
    <row r="14" spans="1:14" x14ac:dyDescent="0.25">
      <c r="G14" s="1" t="s">
        <v>34</v>
      </c>
    </row>
    <row r="15" spans="1:14" x14ac:dyDescent="0.25">
      <c r="G15" s="9">
        <f>SUM(G11:G13)</f>
        <v>0.48055555555555551</v>
      </c>
    </row>
    <row r="16" spans="1:14" x14ac:dyDescent="0.25">
      <c r="A16" s="37" t="s">
        <v>32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4:8" x14ac:dyDescent="0.25">
      <c r="D17" s="9">
        <f>(C11^2)/(1-C11)</f>
        <v>8.3333333333333329E-2</v>
      </c>
      <c r="E17" s="9">
        <f>(C6*C11)/(1-(C11^C6))</f>
        <v>0.33333333333333331</v>
      </c>
      <c r="F17">
        <f>1000*F11</f>
        <v>33.333333333333336</v>
      </c>
      <c r="G17">
        <f>1000*G11</f>
        <v>133.33333333333334</v>
      </c>
    </row>
    <row r="18" spans="4:8" x14ac:dyDescent="0.25">
      <c r="D18" s="9">
        <f>(C12^2)/(1-C12)</f>
        <v>5.000000000000001E-2</v>
      </c>
      <c r="E18" s="9">
        <f>(C7*C12)/(1-(C12^C7))</f>
        <v>0.25</v>
      </c>
    </row>
    <row r="19" spans="4:8" x14ac:dyDescent="0.25">
      <c r="D19" s="9">
        <f>(C13^2)/(1-C13)</f>
        <v>1.1111111111111113E-2</v>
      </c>
      <c r="E19" s="9">
        <f>(C8*C13)/(1-(C13^C8))</f>
        <v>0.11111111111111112</v>
      </c>
    </row>
    <row r="21" spans="4:8" x14ac:dyDescent="0.25">
      <c r="H21" s="16"/>
    </row>
  </sheetData>
  <mergeCells count="6">
    <mergeCell ref="A2:A4"/>
    <mergeCell ref="A16:M16"/>
    <mergeCell ref="B2:B4"/>
    <mergeCell ref="F2:H4"/>
    <mergeCell ref="I2:M4"/>
    <mergeCell ref="C2:E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tabSelected="1" topLeftCell="A15" zoomScale="85" zoomScaleNormal="85" workbookViewId="0">
      <selection activeCell="F20" sqref="F20"/>
    </sheetView>
  </sheetViews>
  <sheetFormatPr defaultRowHeight="15" x14ac:dyDescent="0.25"/>
  <cols>
    <col min="1" max="1" width="20.5703125" customWidth="1"/>
    <col min="2" max="2" width="26.42578125" customWidth="1"/>
    <col min="3" max="3" width="22.7109375" customWidth="1"/>
    <col min="4" max="4" width="21.28515625" customWidth="1"/>
    <col min="5" max="5" width="19.7109375" customWidth="1"/>
    <col min="6" max="6" width="11.7109375" customWidth="1"/>
  </cols>
  <sheetData>
    <row r="1" spans="1:6" ht="15.75" thickBot="1" x14ac:dyDescent="0.3">
      <c r="A1" s="1" t="s">
        <v>22</v>
      </c>
    </row>
    <row r="2" spans="1:6" ht="34.15" customHeight="1" x14ac:dyDescent="0.25">
      <c r="A2" s="29" t="s">
        <v>21</v>
      </c>
      <c r="B2" s="47" t="s">
        <v>2</v>
      </c>
      <c r="C2" s="48"/>
      <c r="D2" s="47" t="s">
        <v>23</v>
      </c>
      <c r="E2" s="48"/>
    </row>
    <row r="3" spans="1:6" ht="15.75" thickBot="1" x14ac:dyDescent="0.3">
      <c r="A3" s="30"/>
      <c r="B3" s="49"/>
      <c r="C3" s="50"/>
      <c r="D3" s="49"/>
      <c r="E3" s="50"/>
    </row>
    <row r="4" spans="1:6" ht="37.15" customHeight="1" x14ac:dyDescent="0.25">
      <c r="A4" s="51"/>
      <c r="B4" s="51" t="s">
        <v>24</v>
      </c>
      <c r="C4" s="51" t="s">
        <v>25</v>
      </c>
      <c r="D4" s="51" t="s">
        <v>24</v>
      </c>
      <c r="E4" s="51" t="s">
        <v>25</v>
      </c>
    </row>
    <row r="5" spans="1:6" ht="15.75" thickBot="1" x14ac:dyDescent="0.3">
      <c r="A5" s="52"/>
      <c r="B5" s="52"/>
      <c r="C5" s="52"/>
      <c r="D5" s="52"/>
      <c r="E5" s="52"/>
    </row>
    <row r="6" spans="1:6" ht="19.5" thickBot="1" x14ac:dyDescent="0.3">
      <c r="A6" s="4" t="s">
        <v>72</v>
      </c>
      <c r="B6" s="26">
        <v>1</v>
      </c>
      <c r="C6" s="27">
        <v>5</v>
      </c>
      <c r="D6" s="27">
        <v>0.2</v>
      </c>
      <c r="E6" s="27">
        <v>0.12</v>
      </c>
    </row>
    <row r="7" spans="1:6" x14ac:dyDescent="0.25">
      <c r="B7" s="7">
        <f>C6</f>
        <v>5</v>
      </c>
      <c r="C7" s="7"/>
      <c r="D7" s="7">
        <f>E6</f>
        <v>0.12</v>
      </c>
      <c r="E7" s="7"/>
    </row>
    <row r="9" spans="1:6" x14ac:dyDescent="0.25">
      <c r="A9" s="1" t="s">
        <v>35</v>
      </c>
      <c r="E9" s="7"/>
    </row>
    <row r="11" spans="1:6" x14ac:dyDescent="0.25">
      <c r="A11" s="20" t="s">
        <v>26</v>
      </c>
      <c r="B11" s="20" t="s">
        <v>28</v>
      </c>
      <c r="C11" s="20" t="s">
        <v>36</v>
      </c>
      <c r="D11" s="7" t="s">
        <v>39</v>
      </c>
      <c r="E11" s="21" t="s">
        <v>38</v>
      </c>
      <c r="F11" s="20" t="s">
        <v>37</v>
      </c>
    </row>
    <row r="12" spans="1:6" x14ac:dyDescent="0.25">
      <c r="A12" s="16">
        <v>1</v>
      </c>
      <c r="B12" s="16">
        <f>D6*B6</f>
        <v>0.2</v>
      </c>
      <c r="C12" s="16">
        <f>SUM(B12:B13)</f>
        <v>0.8</v>
      </c>
      <c r="D12" s="7">
        <v>1</v>
      </c>
      <c r="E12" s="16">
        <f>B12*D6*(1+(1/D12))</f>
        <v>8.0000000000000016E-2</v>
      </c>
      <c r="F12" s="17">
        <f>SUM(E12:E13)/(2*(1-C12))</f>
        <v>0.56000000000000016</v>
      </c>
    </row>
    <row r="13" spans="1:6" x14ac:dyDescent="0.25">
      <c r="A13" s="16">
        <v>2</v>
      </c>
      <c r="B13" s="16">
        <f>D7*B7</f>
        <v>0.6</v>
      </c>
      <c r="C13" s="16"/>
      <c r="D13" s="7">
        <v>1</v>
      </c>
      <c r="E13" s="16">
        <f>B13*D7*(1+(1/D13))</f>
        <v>0.14399999999999999</v>
      </c>
      <c r="F13" s="16"/>
    </row>
    <row r="15" spans="1:6" x14ac:dyDescent="0.25">
      <c r="A15" s="1" t="s">
        <v>40</v>
      </c>
    </row>
    <row r="17" spans="1:6" ht="42.6" customHeight="1" x14ac:dyDescent="0.25">
      <c r="A17" s="15" t="s">
        <v>42</v>
      </c>
      <c r="B17" s="19" t="s">
        <v>43</v>
      </c>
      <c r="C17" s="19" t="s">
        <v>44</v>
      </c>
      <c r="D17" s="16"/>
      <c r="E17" s="16"/>
      <c r="F17" s="6"/>
    </row>
    <row r="18" spans="1:6" x14ac:dyDescent="0.25">
      <c r="A18" s="16">
        <v>1</v>
      </c>
      <c r="B18" s="17">
        <f>($B$12*$D$6+$B$13*$D$7)/(1-B12)</f>
        <v>0.13999999999999999</v>
      </c>
      <c r="C18" s="17">
        <f>($B$12*$D$6+$B$13*$D$7)/((1-B12)*(1-$B$12-$B$13))</f>
        <v>0.69999999999999973</v>
      </c>
      <c r="D18" s="17"/>
      <c r="E18" s="17"/>
      <c r="F18" s="22"/>
    </row>
    <row r="19" spans="1:6" x14ac:dyDescent="0.25">
      <c r="A19" s="16">
        <v>2</v>
      </c>
      <c r="B19" s="17">
        <f>($B$12*$D$6+$B$13*$D$7)/(1-B13)</f>
        <v>0.27999999999999997</v>
      </c>
      <c r="C19" s="17">
        <f>($B$12*$D$6+$B$13*$D$7)/((1-B13)*(1-$B$12-$B$13))</f>
        <v>1.3999999999999995</v>
      </c>
      <c r="D19" s="17"/>
      <c r="E19" s="17"/>
      <c r="F19" s="22"/>
    </row>
    <row r="21" spans="1:6" x14ac:dyDescent="0.25">
      <c r="A21" s="31" t="s">
        <v>45</v>
      </c>
      <c r="B21" s="31"/>
      <c r="C21" s="31"/>
    </row>
    <row r="22" spans="1:6" x14ac:dyDescent="0.25">
      <c r="A22" s="9">
        <f>$B$12*$B$18+$B$13*$C$18</f>
        <v>0.44799999999999984</v>
      </c>
      <c r="B22" s="16" t="s">
        <v>46</v>
      </c>
      <c r="C22" s="9">
        <f>C12*F12</f>
        <v>0.44800000000000018</v>
      </c>
    </row>
    <row r="23" spans="1:6" x14ac:dyDescent="0.25">
      <c r="A23" s="9">
        <f>$B$13*$B$19+$B$12*$C$19</f>
        <v>0.4479999999999999</v>
      </c>
      <c r="B23" s="16" t="s">
        <v>46</v>
      </c>
      <c r="C23" s="9">
        <f>C12*F12</f>
        <v>0.44800000000000018</v>
      </c>
    </row>
    <row r="25" spans="1:6" x14ac:dyDescent="0.25">
      <c r="A25" s="1" t="s">
        <v>47</v>
      </c>
    </row>
    <row r="26" spans="1:6" x14ac:dyDescent="0.25">
      <c r="A26" s="16" t="s">
        <v>41</v>
      </c>
      <c r="B26" s="19" t="s">
        <v>43</v>
      </c>
      <c r="C26" s="19" t="s">
        <v>44</v>
      </c>
      <c r="D26" s="16"/>
      <c r="E26" s="16"/>
    </row>
    <row r="27" spans="1:6" x14ac:dyDescent="0.25">
      <c r="A27" s="16">
        <v>1</v>
      </c>
      <c r="B27" s="17">
        <f>(B12*D6)/(1-B12)</f>
        <v>5.000000000000001E-2</v>
      </c>
      <c r="C27" s="17">
        <f>((B12*E6)/(1-B12))+((B12*D6+B13*E6)/((1-B12)*(1-B12-B13)))</f>
        <v>0.72999999999999976</v>
      </c>
      <c r="D27" s="17"/>
      <c r="E27" s="17"/>
    </row>
    <row r="28" spans="1:6" x14ac:dyDescent="0.25">
      <c r="A28" s="16">
        <v>2</v>
      </c>
      <c r="B28" s="17">
        <f>(B13*D7)/(1-B13)</f>
        <v>0.17999999999999997</v>
      </c>
      <c r="C28" s="17">
        <f>((B13*D6)/(1-B13))+((B13*D7+B12*D6)/((1-B13)*(1-B13-B12)))</f>
        <v>1.6999999999999997</v>
      </c>
      <c r="D28" s="17"/>
      <c r="E28" s="17"/>
    </row>
    <row r="29" spans="1:6" x14ac:dyDescent="0.25">
      <c r="B29" s="20"/>
      <c r="C29" s="7"/>
      <c r="D29" s="7"/>
    </row>
    <row r="30" spans="1:6" x14ac:dyDescent="0.25">
      <c r="A30" s="31" t="s">
        <v>45</v>
      </c>
      <c r="B30" s="31"/>
      <c r="C30" s="31"/>
      <c r="D30" s="16"/>
      <c r="E30" s="16"/>
    </row>
    <row r="31" spans="1:6" x14ac:dyDescent="0.25">
      <c r="A31" s="9">
        <f>B12*B27+B13*C27</f>
        <v>0.44799999999999984</v>
      </c>
      <c r="B31" s="16" t="s">
        <v>46</v>
      </c>
      <c r="C31" s="9">
        <f>C22</f>
        <v>0.44800000000000018</v>
      </c>
      <c r="D31" s="16"/>
      <c r="E31" s="16"/>
    </row>
    <row r="32" spans="1:6" x14ac:dyDescent="0.25">
      <c r="A32" s="9">
        <f>B13*B28+B12*C28</f>
        <v>0.44799999999999995</v>
      </c>
      <c r="B32" s="16" t="s">
        <v>46</v>
      </c>
      <c r="C32" s="9">
        <f>C23</f>
        <v>0.44800000000000018</v>
      </c>
      <c r="D32" s="16"/>
      <c r="E32" s="16"/>
    </row>
    <row r="33" spans="1:5" x14ac:dyDescent="0.25">
      <c r="A33" s="16"/>
      <c r="B33" s="16"/>
      <c r="C33" s="16"/>
      <c r="D33" s="16"/>
      <c r="E33" s="16"/>
    </row>
    <row r="34" spans="1:5" x14ac:dyDescent="0.25">
      <c r="A34" s="16"/>
      <c r="B34" s="16"/>
      <c r="C34" s="16"/>
      <c r="D34" s="16"/>
      <c r="E34" s="16"/>
    </row>
  </sheetData>
  <mergeCells count="10">
    <mergeCell ref="A21:C21"/>
    <mergeCell ref="A30:C30"/>
    <mergeCell ref="B2:C3"/>
    <mergeCell ref="D2:E3"/>
    <mergeCell ref="A4:A5"/>
    <mergeCell ref="B4:B5"/>
    <mergeCell ref="C4:C5"/>
    <mergeCell ref="D4:D5"/>
    <mergeCell ref="E4:E5"/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задача 1</vt:lpstr>
      <vt:lpstr>задача 2</vt:lpstr>
      <vt:lpstr>задача 3</vt:lpstr>
      <vt:lpstr>задача 4</vt:lpstr>
      <vt:lpstr>задача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Перевощиков</dc:creator>
  <cp:lastModifiedBy>Захар Чудновский</cp:lastModifiedBy>
  <dcterms:created xsi:type="dcterms:W3CDTF">2015-06-05T18:19:34Z</dcterms:created>
  <dcterms:modified xsi:type="dcterms:W3CDTF">2025-09-15T10:19:29Z</dcterms:modified>
</cp:coreProperties>
</file>